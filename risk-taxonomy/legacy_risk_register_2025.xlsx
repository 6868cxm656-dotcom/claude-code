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JimRiddiford\Downloads\"/>
    </mc:Choice>
  </mc:AlternateContent>
  <xr:revisionPtr revIDLastSave="0" documentId="8_{D380F446-5D3E-4038-BB77-EC0BE9EB71C5}" xr6:coauthVersionLast="47" xr6:coauthVersionMax="47" xr10:uidLastSave="{00000000-0000-0000-0000-000000000000}"/>
  <bookViews>
    <workbookView xWindow="-108" yWindow="-108" windowWidth="23256" windowHeight="12456" xr2:uid="{28282291-7308-461A-B5BE-58761A96A971}"/>
  </bookViews>
  <sheets>
    <sheet name="Register by Residual Risk" sheetId="1" r:id="rId1"/>
  </sheets>
  <externalReferences>
    <externalReference r:id="rId2"/>
  </externalReferences>
  <definedNames>
    <definedName name="_xlnm._FilterDatabase" localSheetId="0" hidden="1">'Register by Residual Risk'!$A$2:$W$55</definedName>
    <definedName name="Likelihood">[1]Structure!$A$48:$A$52</definedName>
    <definedName name="_xlnm.Print_Area" localSheetId="0">'Register by Residual Risk'!$A$1:$X$55</definedName>
    <definedName name="_xlnm.Print_Titles" localSheetId="0">'Register by Residual Risk'!$1:$3</definedName>
    <definedName name="Severity">[1]Structure!$D$48:$D$52</definedName>
    <definedName name="SubComm">'[1]Definitions &amp; Interpretation'!$A$58:$A$62</definedName>
    <definedName name="Treatment">[1]Structure!$A$61:$A$64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4" i="1" l="1"/>
  <c r="S54" i="1"/>
  <c r="L54" i="1"/>
  <c r="J54" i="1"/>
  <c r="U53" i="1"/>
  <c r="S53" i="1"/>
  <c r="L53" i="1"/>
  <c r="J53" i="1"/>
  <c r="U52" i="1"/>
  <c r="S52" i="1"/>
  <c r="L52" i="1"/>
  <c r="J52" i="1"/>
  <c r="U51" i="1"/>
  <c r="S51" i="1"/>
  <c r="L51" i="1"/>
  <c r="J51" i="1"/>
  <c r="U50" i="1"/>
  <c r="S50" i="1"/>
  <c r="L50" i="1"/>
  <c r="J50" i="1"/>
  <c r="U49" i="1"/>
  <c r="S49" i="1"/>
  <c r="L49" i="1"/>
  <c r="J49" i="1"/>
  <c r="U48" i="1"/>
  <c r="S48" i="1"/>
  <c r="L48" i="1"/>
  <c r="J48" i="1"/>
  <c r="U47" i="1"/>
  <c r="S47" i="1"/>
  <c r="L47" i="1"/>
  <c r="J47" i="1"/>
  <c r="U46" i="1"/>
  <c r="S46" i="1"/>
  <c r="L46" i="1"/>
  <c r="J46" i="1"/>
  <c r="W45" i="1"/>
  <c r="U44" i="1"/>
  <c r="S44" i="1"/>
  <c r="L44" i="1"/>
  <c r="J44" i="1"/>
  <c r="U43" i="1"/>
  <c r="S43" i="1"/>
  <c r="L43" i="1"/>
  <c r="J43" i="1"/>
  <c r="W42" i="1"/>
  <c r="U41" i="1"/>
  <c r="S41" i="1"/>
  <c r="L41" i="1"/>
  <c r="J41" i="1"/>
  <c r="U40" i="1"/>
  <c r="S40" i="1"/>
  <c r="L40" i="1"/>
  <c r="J40" i="1"/>
  <c r="U39" i="1"/>
  <c r="S39" i="1"/>
  <c r="L39" i="1"/>
  <c r="J39" i="1"/>
  <c r="U38" i="1"/>
  <c r="S38" i="1"/>
  <c r="L38" i="1"/>
  <c r="J38" i="1"/>
  <c r="W37" i="1"/>
  <c r="W36" i="1"/>
  <c r="U35" i="1"/>
  <c r="S35" i="1"/>
  <c r="L35" i="1"/>
  <c r="J35" i="1"/>
  <c r="U34" i="1"/>
  <c r="S34" i="1"/>
  <c r="L34" i="1"/>
  <c r="J34" i="1"/>
  <c r="U33" i="1"/>
  <c r="S33" i="1"/>
  <c r="L33" i="1"/>
  <c r="J33" i="1"/>
  <c r="U32" i="1"/>
  <c r="S32" i="1"/>
  <c r="L32" i="1"/>
  <c r="J32" i="1"/>
  <c r="U31" i="1"/>
  <c r="S31" i="1"/>
  <c r="L31" i="1"/>
  <c r="J31" i="1"/>
  <c r="U30" i="1"/>
  <c r="S30" i="1"/>
  <c r="L30" i="1"/>
  <c r="J30" i="1"/>
  <c r="U29" i="1"/>
  <c r="S29" i="1"/>
  <c r="L29" i="1"/>
  <c r="J29" i="1"/>
  <c r="U28" i="1"/>
  <c r="S28" i="1"/>
  <c r="L28" i="1"/>
  <c r="J28" i="1"/>
  <c r="U27" i="1"/>
  <c r="S27" i="1"/>
  <c r="L27" i="1"/>
  <c r="J27" i="1"/>
  <c r="U26" i="1"/>
  <c r="S26" i="1"/>
  <c r="L26" i="1"/>
  <c r="J26" i="1"/>
  <c r="U25" i="1"/>
  <c r="S25" i="1"/>
  <c r="L25" i="1"/>
  <c r="J25" i="1"/>
  <c r="U24" i="1"/>
  <c r="S24" i="1"/>
  <c r="L24" i="1"/>
  <c r="J24" i="1"/>
  <c r="U23" i="1"/>
  <c r="S23" i="1"/>
  <c r="L23" i="1"/>
  <c r="J23" i="1"/>
  <c r="U22" i="1"/>
  <c r="S22" i="1"/>
  <c r="L22" i="1"/>
  <c r="J22" i="1"/>
  <c r="U21" i="1"/>
  <c r="S21" i="1"/>
  <c r="L21" i="1"/>
  <c r="J21" i="1"/>
  <c r="U20" i="1"/>
  <c r="S20" i="1"/>
  <c r="L20" i="1"/>
  <c r="J20" i="1"/>
  <c r="U19" i="1"/>
  <c r="S19" i="1"/>
  <c r="L19" i="1"/>
  <c r="J19" i="1"/>
  <c r="U18" i="1"/>
  <c r="S18" i="1"/>
  <c r="L18" i="1"/>
  <c r="J18" i="1"/>
  <c r="U17" i="1"/>
  <c r="S17" i="1"/>
  <c r="L17" i="1"/>
  <c r="J17" i="1"/>
  <c r="U16" i="1"/>
  <c r="S16" i="1"/>
  <c r="L16" i="1"/>
  <c r="J16" i="1"/>
  <c r="U15" i="1"/>
  <c r="S15" i="1"/>
  <c r="L15" i="1"/>
  <c r="J15" i="1"/>
  <c r="U14" i="1"/>
  <c r="S14" i="1"/>
  <c r="L14" i="1"/>
  <c r="J14" i="1"/>
  <c r="U13" i="1"/>
  <c r="S13" i="1"/>
  <c r="L13" i="1"/>
  <c r="J13" i="1"/>
  <c r="U12" i="1"/>
  <c r="S12" i="1"/>
  <c r="L12" i="1"/>
  <c r="J12" i="1"/>
  <c r="U11" i="1"/>
  <c r="S11" i="1"/>
  <c r="L11" i="1"/>
  <c r="J11" i="1"/>
  <c r="U10" i="1"/>
  <c r="S10" i="1"/>
  <c r="L10" i="1"/>
  <c r="J10" i="1"/>
  <c r="U9" i="1"/>
  <c r="S9" i="1"/>
  <c r="L9" i="1"/>
  <c r="J9" i="1"/>
  <c r="U8" i="1"/>
  <c r="S8" i="1"/>
  <c r="L8" i="1"/>
  <c r="J8" i="1"/>
  <c r="U7" i="1"/>
  <c r="S7" i="1"/>
  <c r="L7" i="1"/>
  <c r="J7" i="1"/>
  <c r="U6" i="1"/>
  <c r="S6" i="1"/>
  <c r="L6" i="1"/>
  <c r="J6" i="1"/>
  <c r="U5" i="1"/>
  <c r="S5" i="1"/>
  <c r="L5" i="1"/>
  <c r="J5" i="1"/>
  <c r="U4" i="1"/>
  <c r="S4" i="1"/>
  <c r="L4" i="1"/>
  <c r="J4" i="1"/>
  <c r="U3" i="1"/>
  <c r="S3" i="1"/>
  <c r="L3" i="1"/>
  <c r="J3" i="1"/>
  <c r="V4" i="1" l="1"/>
  <c r="W4" i="1" s="1"/>
  <c r="M49" i="1"/>
  <c r="N49" i="1" s="1"/>
  <c r="M47" i="1"/>
  <c r="N47" i="1" s="1"/>
  <c r="V6" i="1"/>
  <c r="W6" i="1" s="1"/>
  <c r="M51" i="1"/>
  <c r="N51" i="1" s="1"/>
  <c r="M39" i="1"/>
  <c r="N39" i="1" s="1"/>
  <c r="V38" i="1"/>
  <c r="W38" i="1" s="1"/>
  <c r="M38" i="1"/>
  <c r="N38" i="1" s="1"/>
  <c r="M40" i="1"/>
  <c r="N40" i="1" s="1"/>
  <c r="V43" i="1"/>
  <c r="W43" i="1" s="1"/>
  <c r="M41" i="1"/>
  <c r="N41" i="1" s="1"/>
  <c r="M53" i="1"/>
  <c r="N53" i="1" s="1"/>
  <c r="V8" i="1"/>
  <c r="W8" i="1" s="1"/>
  <c r="V10" i="1"/>
  <c r="W10" i="1" s="1"/>
  <c r="V12" i="1"/>
  <c r="W12" i="1" s="1"/>
  <c r="V14" i="1"/>
  <c r="W14" i="1" s="1"/>
  <c r="V16" i="1"/>
  <c r="W16" i="1" s="1"/>
  <c r="V18" i="1"/>
  <c r="W18" i="1" s="1"/>
  <c r="V20" i="1"/>
  <c r="W20" i="1" s="1"/>
  <c r="V22" i="1"/>
  <c r="W22" i="1" s="1"/>
  <c r="V24" i="1"/>
  <c r="W24" i="1" s="1"/>
  <c r="V26" i="1"/>
  <c r="W26" i="1" s="1"/>
  <c r="V28" i="1"/>
  <c r="W28" i="1" s="1"/>
  <c r="V30" i="1"/>
  <c r="W30" i="1" s="1"/>
  <c r="V32" i="1"/>
  <c r="W32" i="1" s="1"/>
  <c r="V34" i="1"/>
  <c r="W34" i="1" s="1"/>
  <c r="M43" i="1"/>
  <c r="N43" i="1" s="1"/>
  <c r="V47" i="1"/>
  <c r="W47" i="1" s="1"/>
  <c r="V49" i="1"/>
  <c r="W49" i="1" s="1"/>
  <c r="V51" i="1"/>
  <c r="W51" i="1" s="1"/>
  <c r="V53" i="1"/>
  <c r="W53" i="1" s="1"/>
  <c r="M46" i="1"/>
  <c r="N46" i="1" s="1"/>
  <c r="M48" i="1"/>
  <c r="N48" i="1" s="1"/>
  <c r="M50" i="1"/>
  <c r="N50" i="1" s="1"/>
  <c r="M52" i="1"/>
  <c r="N52" i="1" s="1"/>
  <c r="M54" i="1"/>
  <c r="N54" i="1" s="1"/>
  <c r="M3" i="1"/>
  <c r="N3" i="1" s="1"/>
  <c r="M5" i="1"/>
  <c r="N5" i="1" s="1"/>
  <c r="M7" i="1"/>
  <c r="N7" i="1" s="1"/>
  <c r="M9" i="1"/>
  <c r="N9" i="1" s="1"/>
  <c r="M11" i="1"/>
  <c r="N11" i="1" s="1"/>
  <c r="M13" i="1"/>
  <c r="N13" i="1" s="1"/>
  <c r="M15" i="1"/>
  <c r="N15" i="1" s="1"/>
  <c r="M17" i="1"/>
  <c r="N17" i="1" s="1"/>
  <c r="M19" i="1"/>
  <c r="N19" i="1" s="1"/>
  <c r="M21" i="1"/>
  <c r="N21" i="1" s="1"/>
  <c r="M23" i="1"/>
  <c r="N23" i="1" s="1"/>
  <c r="M25" i="1"/>
  <c r="N25" i="1" s="1"/>
  <c r="M27" i="1"/>
  <c r="N27" i="1" s="1"/>
  <c r="M29" i="1"/>
  <c r="N29" i="1" s="1"/>
  <c r="M31" i="1"/>
  <c r="N31" i="1" s="1"/>
  <c r="M33" i="1"/>
  <c r="N33" i="1" s="1"/>
  <c r="M35" i="1"/>
  <c r="N35" i="1" s="1"/>
  <c r="V41" i="1"/>
  <c r="W41" i="1" s="1"/>
  <c r="V44" i="1"/>
  <c r="W44" i="1" s="1"/>
  <c r="V3" i="1"/>
  <c r="W3" i="1" s="1"/>
  <c r="V5" i="1"/>
  <c r="W5" i="1" s="1"/>
  <c r="V7" i="1"/>
  <c r="W7" i="1" s="1"/>
  <c r="V9" i="1"/>
  <c r="W9" i="1" s="1"/>
  <c r="V11" i="1"/>
  <c r="W11" i="1" s="1"/>
  <c r="V13" i="1"/>
  <c r="W13" i="1" s="1"/>
  <c r="V15" i="1"/>
  <c r="W15" i="1" s="1"/>
  <c r="V17" i="1"/>
  <c r="W17" i="1" s="1"/>
  <c r="V19" i="1"/>
  <c r="W19" i="1" s="1"/>
  <c r="V21" i="1"/>
  <c r="W21" i="1" s="1"/>
  <c r="V23" i="1"/>
  <c r="W23" i="1" s="1"/>
  <c r="V25" i="1"/>
  <c r="W25" i="1" s="1"/>
  <c r="V27" i="1"/>
  <c r="W27" i="1" s="1"/>
  <c r="V29" i="1"/>
  <c r="W29" i="1" s="1"/>
  <c r="V31" i="1"/>
  <c r="W31" i="1" s="1"/>
  <c r="V33" i="1"/>
  <c r="W33" i="1" s="1"/>
  <c r="V35" i="1"/>
  <c r="W35" i="1" s="1"/>
  <c r="V40" i="1"/>
  <c r="W40" i="1" s="1"/>
  <c r="M4" i="1"/>
  <c r="N4" i="1" s="1"/>
  <c r="M6" i="1"/>
  <c r="N6" i="1" s="1"/>
  <c r="M8" i="1"/>
  <c r="N8" i="1" s="1"/>
  <c r="M10" i="1"/>
  <c r="N10" i="1" s="1"/>
  <c r="M12" i="1"/>
  <c r="N12" i="1" s="1"/>
  <c r="M14" i="1"/>
  <c r="N14" i="1" s="1"/>
  <c r="M16" i="1"/>
  <c r="N16" i="1" s="1"/>
  <c r="M18" i="1"/>
  <c r="N18" i="1" s="1"/>
  <c r="M20" i="1"/>
  <c r="N20" i="1" s="1"/>
  <c r="M22" i="1"/>
  <c r="N22" i="1" s="1"/>
  <c r="M24" i="1"/>
  <c r="N24" i="1" s="1"/>
  <c r="M26" i="1"/>
  <c r="N26" i="1" s="1"/>
  <c r="M28" i="1"/>
  <c r="N28" i="1" s="1"/>
  <c r="M30" i="1"/>
  <c r="N30" i="1" s="1"/>
  <c r="M32" i="1"/>
  <c r="N32" i="1" s="1"/>
  <c r="M34" i="1"/>
  <c r="N34" i="1" s="1"/>
  <c r="V39" i="1"/>
  <c r="W39" i="1" s="1"/>
  <c r="M44" i="1"/>
  <c r="N44" i="1" s="1"/>
  <c r="V46" i="1"/>
  <c r="W46" i="1" s="1"/>
  <c r="V48" i="1"/>
  <c r="W48" i="1" s="1"/>
  <c r="V50" i="1"/>
  <c r="W50" i="1" s="1"/>
  <c r="V52" i="1"/>
  <c r="W52" i="1" s="1"/>
  <c r="V54" i="1"/>
  <c r="W54" i="1" s="1"/>
</calcChain>
</file>

<file path=xl/sharedStrings.xml><?xml version="1.0" encoding="utf-8"?>
<sst xmlns="http://schemas.openxmlformats.org/spreadsheetml/2006/main" count="794" uniqueCount="404">
  <si>
    <t>Core Risk</t>
  </si>
  <si>
    <t>Mitigation Action</t>
  </si>
  <si>
    <t>Residual Risk</t>
  </si>
  <si>
    <t>ID</t>
  </si>
  <si>
    <t>Risk Category</t>
  </si>
  <si>
    <t>Risk Description</t>
  </si>
  <si>
    <t>Consequence</t>
  </si>
  <si>
    <t>Impact on TCF's Objectives</t>
  </si>
  <si>
    <t>Owner</t>
  </si>
  <si>
    <t>Subcom</t>
  </si>
  <si>
    <t>Risk Trigger</t>
  </si>
  <si>
    <t>Likelihood</t>
  </si>
  <si>
    <t>Likelihood Score</t>
  </si>
  <si>
    <t>Severity</t>
  </si>
  <si>
    <t>Severity Score</t>
  </si>
  <si>
    <t>Risk Score</t>
  </si>
  <si>
    <t>Treatment</t>
  </si>
  <si>
    <t>Prevention Measures (Likelihood)</t>
  </si>
  <si>
    <t>Control Measures (impact severity)</t>
  </si>
  <si>
    <t>Date amended</t>
  </si>
  <si>
    <t>R9</t>
  </si>
  <si>
    <t>Operational</t>
  </si>
  <si>
    <t>Controversial/adverse publicity surrounding a Fellow due to the findings from a Fellowship research</t>
  </si>
  <si>
    <t>Reputational damage to the charity</t>
  </si>
  <si>
    <t>Potential cessation of donations from potential or existing donors and partners
Potential applicants may be deterred from applying for Fellowship
Loss of reputation with existing Fellows and external stakeholders</t>
  </si>
  <si>
    <t>ED</t>
  </si>
  <si>
    <t>ARG</t>
  </si>
  <si>
    <t>Adverse media coverage of Fellow's findings and/or complaints received by the Fellow concerned or the charity</t>
  </si>
  <si>
    <t>Possible</t>
  </si>
  <si>
    <t>Moderate</t>
  </si>
  <si>
    <t>Tolerate and Treat, or Terminate</t>
  </si>
  <si>
    <t xml:space="preserve">Careful consideration of research subjects during applicationa nd award process
Weekly reports meeting &amp; effective feedback to Fellows to highlight potential risk of controversial findings.
Ensure the charity's report disclaimer are included in all Fellows reports before their Fellowship can be considered complete.
Terms and Conditions, Code of Conduct have been clearly communicated to Fellows.
Monitoring of social media and general media coverage
</t>
  </si>
  <si>
    <t>Crisis plan
Damage control over media coverage on all platforms
Investigate and proceed with appropriate action in accordance with T&amp;C's and agreed oversight authority. Withdraw or terminate Fellowship if appropriate</t>
  </si>
  <si>
    <t>Unlikely</t>
  </si>
  <si>
    <t>R1</t>
  </si>
  <si>
    <t>Viability of Fellowship Scheme due to effects from changing landscape or environment, or events outside of Trust's control</t>
  </si>
  <si>
    <t xml:space="preserve">Unintended changes to characteristics of Fellowship Scheme
Fellowships become unattractive proposition
Fellowships become unviable for applicants
</t>
  </si>
  <si>
    <t xml:space="preserve">Fellowship scheme no longer viable </t>
  </si>
  <si>
    <t>CEO</t>
  </si>
  <si>
    <t>Board</t>
  </si>
  <si>
    <t>Reduction in applications received, increase in number of awarded Fellows unable to complete their Fellowships</t>
  </si>
  <si>
    <t>Major</t>
  </si>
  <si>
    <t>Survey potential applicants who do not submit their applications, ask Fellows for reasons their contacts give for not applying, monitor Fellows' actual time away and the reasons awarded Fellows do not complete their Fellowships
Evolve the model to reflect changing needs. 
Online and hybrid options introduced.
Horizon scanning to spot challenges early.</t>
  </si>
  <si>
    <t>Review Fellowship model and adapt to changing demand/needs</t>
  </si>
  <si>
    <t>R2</t>
  </si>
  <si>
    <t>An occurance of an acute, fatal, harmful or otherwise damaging incident affecting a Fellow, due to deterioration of safety (man-made or natural) during travel, including potential safety issues caused by political and/or social unrest</t>
  </si>
  <si>
    <t>Reputational damage to the charity,  particularly in the case of political or social unrest if country is on the FCDO banned list
Potential claim of negligence on the charity's Duty of Care towards the Fellow
Investigation from Charity Commission on Safeguarding grounds
Harm to a Fellow</t>
  </si>
  <si>
    <t xml:space="preserve">Damage to all stakeholders, including external relationships affecting support  from potential or existing donors,  partners, influensers, etc.
Potential applicants may be deterred from applying for Fellowship
Cut in number of Fellowships due to potential costs related to legal defence or damage limitations
</t>
  </si>
  <si>
    <t>FD</t>
  </si>
  <si>
    <t>Contacted by Fellows News reports on areas where Fellows are travelling
Reports of potential adverse conditions (e.g. adverse weather warnings)
News reports of actual incidents
Notification by internal or external parties, stakeholders, friends or family members of affected Fellows</t>
  </si>
  <si>
    <t>Treat and Transfer</t>
  </si>
  <si>
    <t>Ensure TCF's insurance cover is fit for purpose &amp; Fellows' own insurance policies have sufficient cover. 
Fellows are unable to travel to countries with an FCDO travel ban, or to countries where the FCDO advises against ‘all but essential’ travel. 
Advise Fellows on sources of travel safety advice such as the FCDO website and RSA insurance app. 
Ensure Fellows understand applicable Terms and conditions so that appropriate actions are taken by Fellows where necessary
Maintain Fellows risk and safety plans, and Crisis Plans
Monitoring of social media and general media coverage.</t>
  </si>
  <si>
    <t xml:space="preserve">Refer to Crisis Plan - When a Fellow is in trouble abroad
Potential insurance claim
Take control of information dissemination related to the Fellow, the incident and the charity
Legal advice on potential negligence claim
Update donors &amp; funding partners if appropriate
Fellowship team to check whereabouts of Fellows when incidents are reported and communicate with Fellows to establish their safety.  RSA Insurance app sends instant alerts to Fellowship Manager and Fellowship Director.
</t>
  </si>
  <si>
    <t>R3</t>
  </si>
  <si>
    <t>Our criteria of being 'open to everyone' is not being fulfilled</t>
  </si>
  <si>
    <t xml:space="preserve">Fellowship becomes elitist or associated with particular groups/sectors
Criteria becomes a barrier to applicants
Potential discrimination claims
Reputational damage to TCF
</t>
  </si>
  <si>
    <t>Restricting diversity in applicant base
Impact on achieving target Fellowships</t>
  </si>
  <si>
    <t>Total numbers, quality and/or diversity of applications drop, increasing proportions of applications come from high achieving/already successful individuals</t>
  </si>
  <si>
    <t>Treat</t>
  </si>
  <si>
    <t xml:space="preserve">Ensure relationships with existing partners are strengthened and expanded
Work to ensure an application process that is as fair and as open as possible
Comms campaign to reach a wider and targeted audience
ensure programme development process creates programmes that have a widespread appeal
</t>
  </si>
  <si>
    <t>Continue to promote and raise the profiles of individuals from whom we want a higher number of applications
Develop relationships with organisations who work with target groups so improve reach of comms plan</t>
  </si>
  <si>
    <t>Minor</t>
  </si>
  <si>
    <t>R4</t>
  </si>
  <si>
    <t>Insufficient or inappropriate safeguarding procedures</t>
  </si>
  <si>
    <t>TCF and Fellows exposed to liabilities and potential safety concerns
Potential legal claims</t>
  </si>
  <si>
    <t xml:space="preserve">Potential cessation of donations from potential or existing donors and partners
Potential applicants may be deterred from applying for Fellowship
Potential litigation costs
</t>
  </si>
  <si>
    <t>Coverage from media and social media platforms
Direct contact from Fellows or connected parties</t>
  </si>
  <si>
    <t xml:space="preserve">Maintain safety and Crisis Plans
Fellows are insured and provided with the contact details for the insurance company
Ensure safeguarding policy is reviewed, and processes and procedures are adhered to. [Nov 2025 - currently undergoing full safeguarding review with external consultant]
</t>
  </si>
  <si>
    <t xml:space="preserve">Refer to Crisis Plan - When a Fellow is in trouble abroad
Potential insurance claim
Take control of information dissemination related to the Fellow concerned, the incident and the charity
Seek legal advice on potential negligent claim
</t>
  </si>
  <si>
    <t>R5</t>
  </si>
  <si>
    <t>Fellows who are travelling find themselves in an emergency situation during office closures</t>
  </si>
  <si>
    <t>Fellows are not able to access safe place or medical care, resulting in physical harm or damage to health of a Fellow
Reputational damage to TCF</t>
  </si>
  <si>
    <t>Potential cessation of donations from potential or existing donors and partners
Potential applicants may be deterred from applying for Fellowship
Cut in number of Fellowships due to potential costs related to legal defence or damage limitations</t>
  </si>
  <si>
    <t xml:space="preserve">News or direct contact from Fellow </t>
  </si>
  <si>
    <t>Fellows are insured and provided with the contact details for the insurance company. Fellows travelling during the Christmas closure are given the contact details of relevant staff including those with ability to transfer funds</t>
  </si>
  <si>
    <t>Fellows are insured and provided with the details of their insurance and contact details for a 24 hour emergency helpline. 
Fellows travelling during the Christmas closure are given the contact details of relevant staff including those with ability to transfer funds.</t>
  </si>
  <si>
    <t>R6</t>
  </si>
  <si>
    <t xml:space="preserve">Errors in Fellowship administrative processes </t>
  </si>
  <si>
    <t>Fellow receives too much or too little of their grant payment
Travel plans affected, disrruptions to Fellows' research
Potential legal exposure if Fellow suffers financial losses as a result of the shortage of grant
Reputational damage to the charity</t>
  </si>
  <si>
    <t xml:space="preserve">Potential cessation of donations from potential or existing donors and partners
Incomplete Fellowships
Deter new applications for Fellowship
</t>
  </si>
  <si>
    <t>Grant paid amount is incorrect</t>
  </si>
  <si>
    <t>Remote</t>
  </si>
  <si>
    <t>Each payment raised for a Fellow is reviewed by a second person in the Fellowship team to ensure accuracy</t>
  </si>
  <si>
    <t xml:space="preserve">If Fellow has been underpaid, the remaining amount is paid to the Fellow. If overpaid, the Fellow is asked to repay the amount. </t>
  </si>
  <si>
    <t>R7</t>
  </si>
  <si>
    <t>Original grant amount does not meet all of a Fellow's expenses</t>
  </si>
  <si>
    <t>Fellows' expectations are not met resulting in bad feeling and bad publicity
Fellowship not carried out sufficiently
Adverse Financial impact on Fellow</t>
  </si>
  <si>
    <t>Deter new applications for Fellowship
Fellows are less likely to engage with the charity in meaningful and positive ways</t>
  </si>
  <si>
    <t xml:space="preserve">Feedback from Fellows through surveys and communications with Fellowship Team indicate grants are insufficient </t>
  </si>
  <si>
    <t>Likely</t>
  </si>
  <si>
    <t xml:space="preserve">Monitor Fellows' feedback and communicate it to CE and Finance Director.
Try to anticipate potential increases such as market fluctuations in foreign exchange, changing economic conditions at destination countries
Checking amounts in finalisation of Fellows' travel plans
</t>
  </si>
  <si>
    <t xml:space="preserve">Contingency fund created to cover grant increases due to unforeseen events
Monitoring of post-travel surveys. Any responses indicating that the grant was insufficient are investigated and the Fellow reimbursed if necessary.
</t>
  </si>
  <si>
    <t>R8</t>
  </si>
  <si>
    <t>Misuse of grant by a Fellow by spending it on other things other than for the Fellowship
A Fellow returns early from their Fellowship and retains unused funds</t>
  </si>
  <si>
    <t xml:space="preserve">Loss of funds by the charity
Potential reputational damage to the charity if the incident becomes publicly known
If the Fellow is associated with a partnership or funded by a donor TCF's reputation and relationship with the partner/donor could be damaged.
</t>
  </si>
  <si>
    <t>Potential cessation of donations from potential or existing donors and partners</t>
  </si>
  <si>
    <t>Fellow receives funds and doesn’t respond to further TCF contact or a third party informs TCF
Fellow informs TCF that they have returned early.</t>
  </si>
  <si>
    <t>Selection process regularly reviewed to ensure that awards are only made to genuine applicants. Grant administration system of staged payments against itineraries and flight receipts reduces ability of Fellows to misuse grant. Regular and open communications between Fellows and Fellowship team to build strong relationships</t>
  </si>
  <si>
    <t xml:space="preserve">Refer to Crisis Plan - PR </t>
  </si>
  <si>
    <t>Misconduct by a Fellow or a By Fellow including any adverse online acitivities such as online harrassment and bullying</t>
  </si>
  <si>
    <t>Reputational damage to the charity
Investigation from Charity Commission on Safeguarding grounds</t>
  </si>
  <si>
    <t xml:space="preserve">Potential cessation of donations from potential or existing donors and partners
Potential applicants may be deterred from applying for Fellowship
Loss of reputation with existing Fellows and external stakeholders
</t>
  </si>
  <si>
    <t>Informed by internal or external parties regarding the misconduct, including regular and online social media broadcasts or reports</t>
  </si>
  <si>
    <t>Proper due diligence during application process including appropriate background checks and personal character references to be taken prior to awarding of Fellowship
Prospective Fellows to sign a Code of Conduct before Fellowship is awarded
Monitoring of social media and general media coverage</t>
  </si>
  <si>
    <t>Initiate crisis plan
Damage control over media coverage on all platforms
Investigate and instigate procedures for the withdrawal of Fellowship if appropriate</t>
  </si>
  <si>
    <t>R10</t>
  </si>
  <si>
    <t>A Fellow fails to ask hosts for permission to mention their work or quote them directly in their report. 
A Fellow misrepresents their host organisation in their TCF report. The host organisation publicly blames TCF
Fellow fails to observe ethical and legal standards in their dessimination and reports</t>
  </si>
  <si>
    <t>Could lead to legal action
Reputational damage to the charity
Damage to relationships with host nations/organisations</t>
  </si>
  <si>
    <t xml:space="preserve">Cut in number of Fellowships due to potential costs related to legal defence or damage limitations
Damaged relationships impeding future cooperation
Potential damage to partnership and donor relationships affect overall funding for the Programme
</t>
  </si>
  <si>
    <t>Host contacts TCF directly or Fellow informs TCF of the situation
Public statement from host
Media and social media coverage from monitoring</t>
  </si>
  <si>
    <t xml:space="preserve">Report guidelines inform Fellows of the need to inform hosts and clear any quotes before using them.
Report guidelines clearly state that Fellows must ensure the content of their report has been cleared with hosts. 
Fellowship Team confirms with Fellows as part of report feedback process that permission has been given. Reports carry our mandatory disclaimer statement.
</t>
  </si>
  <si>
    <t>Support Fellow in communicating with hosts to resolve informally.
Manage any media/social media coverage</t>
  </si>
  <si>
    <t>R11</t>
  </si>
  <si>
    <t>Fellows fail to disseminate/implement findings and recommendations</t>
  </si>
  <si>
    <t>Lack of dissemination from a large number of Fellows on a regular basis would affect the overall collective impact of the Fellowship programme
Reputational damage to the charity and its objectives</t>
  </si>
  <si>
    <t xml:space="preserve">Deter new applications for Fellowship
Impact on achieving target Fellowships
Impact on finding partners and donors affectinig the overall funding of the Programme
</t>
  </si>
  <si>
    <t xml:space="preserve">Fellows' surveys demonstrate a lack of impact or inability to share or implement findings. </t>
  </si>
  <si>
    <t xml:space="preserve">Fellows are supported to disseminate and implement their findings through considered feedback on their reports, collaboration with partners, opportunities enabled through networks, follow on funding grants and signposting to additional sources of funding.
Due diligence during application process to ensure applicants have realistic potential to implement/disseminate their findings.
</t>
  </si>
  <si>
    <t>Communications with Fellow/s to establish reasons for difficulty to disseminate or implement findings and offer support where appropriate
Review of post-travel support to ensure it is adequate</t>
  </si>
  <si>
    <t>R12</t>
  </si>
  <si>
    <t>Dissatisfied attendees or adverse publicity related to a Fellows event funded by TCF</t>
  </si>
  <si>
    <t>Reputational damage to the charity
Potential legal exposure</t>
  </si>
  <si>
    <t>Reduction of support from external stakeholders and may deter new applicants for the Fellowship</t>
  </si>
  <si>
    <t>Unfavourable reports or complaints on event from any source</t>
  </si>
  <si>
    <t>Tolerate</t>
  </si>
  <si>
    <t>Monitor media and social media coverage for alerts
Ensure proper planning for events to the best of the abilities of the organisers</t>
  </si>
  <si>
    <t xml:space="preserve">Monitor media and social media coverage for alerts
Damage control over media coverage on all platforms
Support for affected Fellows where possible
</t>
  </si>
  <si>
    <t>R13</t>
  </si>
  <si>
    <t>Financial</t>
  </si>
  <si>
    <t>Misapplication of partnership funds and/or donations</t>
  </si>
  <si>
    <t>Cessation of funding and/or association with the charity
May receive request to return funds but would be subject to regulatory constraints</t>
  </si>
  <si>
    <t>Inability to achieve the target number of Fellowships due to a decrease in external funding and/or require alternative funding including an increase in distributions from the charity's endowment</t>
  </si>
  <si>
    <t>DD</t>
  </si>
  <si>
    <t xml:space="preserve">Funders reports, Audit. </t>
  </si>
  <si>
    <t xml:space="preserve">COO, FD and DD review funding critieria against Fellowship applications
Seek advice from Auditors if conditions or restrictions are unclear
Audit trail of income source with clear documentation and understanding of any restrictions or conditions
Maintain donor relationship
</t>
  </si>
  <si>
    <t>Communicate with relevant partner/donor
Agree remedial action with partner/donor
Seek advice from Auditor on allowable actions from a regulatory perspective</t>
  </si>
  <si>
    <t>R14</t>
  </si>
  <si>
    <t>Accepting external funding with over restrictive covenants</t>
  </si>
  <si>
    <t>Unable to award relevant Fellowships</t>
  </si>
  <si>
    <t>Impact on the charity's ability to achieve the target number of Fellowships and/or require alternative funding including an increase in distributions from the charity's endowment</t>
  </si>
  <si>
    <t>P&amp;FR</t>
  </si>
  <si>
    <t>Impossible to award Fellowships that fit the criteria of the covenants</t>
  </si>
  <si>
    <t xml:space="preserve">Ensure Ambassadors, Trustees and fundraisers fully understand the parameters of the Fellowship.
Communication and education - ensure potential partners/donors fully understand the parameters of the Fellowship and how it works in practice, explaining what issues could arise from overly restrictive covenants 
</t>
  </si>
  <si>
    <t>Regular and timely communications with donor to manage expectations</t>
  </si>
  <si>
    <t>R15</t>
  </si>
  <si>
    <t>Compliance</t>
  </si>
  <si>
    <t>Inadequate Anti-Money Laundering  checks on prospective donors or partners</t>
  </si>
  <si>
    <t>Reputational damage to the charity
Increased risk of accepting funding from a dubious source
Increased risk of association with an undesirable funding partner or donor</t>
  </si>
  <si>
    <t>Potential cessation of donations from potential or existing donors, partners or influencers
Potential applicants may be deterred from applying for Fellowship</t>
  </si>
  <si>
    <t xml:space="preserve">Prospective partner/donor reluctant to disclose beneficial ownership of source of funding
Excessive delay in the provision of required information
Information provided is insufficient 
</t>
  </si>
  <si>
    <t>Treat or Terminate</t>
  </si>
  <si>
    <t>Strict adherence to Anti-Money Laundering checks
No acceptance of funding until AML checks have been carried out and the results are satisfactory
Seek legal advice if uncertain</t>
  </si>
  <si>
    <t>Crisis plan
Report to the appropriate authority and seek authorisation from Charity Commission for return of funds or instruction from Charity Commission or government authority on the next steps that should be taken</t>
  </si>
  <si>
    <t>R16</t>
  </si>
  <si>
    <t>External</t>
  </si>
  <si>
    <t xml:space="preserve">Partners/Donors dissatisfied with the level of recognition or coverage related to their funding/donation </t>
  </si>
  <si>
    <t>Cessation of funding and/or association with the charity
May receive request return of funds but would be subject to regulatory constraints</t>
  </si>
  <si>
    <t xml:space="preserve">Donor does not wish to continue being associated with TCF and/or requests return of funds </t>
  </si>
  <si>
    <t xml:space="preserve">Agree with partners/donors the expected level and type of recognition and coverage prior to agreeing and accepting funding
Ensure Ambassadors/Trustees are fully aware of possible recognition options and manage expectations and do not over promise before proceeding to agreement
Maintain effective and regular communication with partners and donors
</t>
  </si>
  <si>
    <t>Chairman and/or Chief Executive speak to partner/donor
Find ways to increase coverage going forward that is agreeable to partner/donor if possible</t>
  </si>
  <si>
    <t>R17</t>
  </si>
  <si>
    <t>The charity is not receiving an adequate level of external funding, including the failure by a Partner/Donor to deliver funding commitments</t>
  </si>
  <si>
    <t>Balance of funding of Fellowships shifts to internally generated funds</t>
  </si>
  <si>
    <t xml:space="preserve">Unfavourable responses from donors/partners
Missed or excessive delay in expected funding from partner/donor
</t>
  </si>
  <si>
    <t xml:space="preserve">Raise the charity's profile in general and maintain positive exposure of the Fellowship and the positive impact from Fellows' research and achievements - tell the "Good Story"
Use strong and effective communication tools to engage potential partners/donors
</t>
  </si>
  <si>
    <t>Trustees to agree adjustments to be made to Fellowship, either in the number of awards to be granted or the maximum award per Fellow</t>
  </si>
  <si>
    <t>R18</t>
  </si>
  <si>
    <t>Inappropriate actions, misconduct or adverse status of a Partner or a donor</t>
  </si>
  <si>
    <t>Any consideration regarding any refunds of donations may require authorisation from the Charity Commission
Reduction of support from other external stakeholders and may deter new applicants for the Fellowship</t>
  </si>
  <si>
    <t xml:space="preserve">Adverse media coverage of a partner/donor organisation </t>
  </si>
  <si>
    <t xml:space="preserve">Thorough due diligence on potential and prospective partners/donors during the fund raising process
Regular communications with partners/donors to identify potential issues before they arise
Maintain safety and Crisis Plans
Monitoring of social media and general media coverage
</t>
  </si>
  <si>
    <t>Crisis plan
Damage control over media coverage on all platforms
Investigate and if necessary, terminate partnership/donor relationship
Potential refund of donated funds subject to regulatory approval by the Charity Commission</t>
  </si>
  <si>
    <t>R19</t>
  </si>
  <si>
    <r>
      <t xml:space="preserve">Not meeting the agreed criteria or conditions agreed with the funding partner/donor </t>
    </r>
    <r>
      <rPr>
        <i/>
        <sz val="12"/>
        <rFont val="Calibri"/>
        <family val="2"/>
        <scheme val="minor"/>
      </rPr>
      <t>due to:
- the number and quality of applications
- the suspension of the Fellowship in any one year due to external circumstances (e.g. pandemic)</t>
    </r>
  </si>
  <si>
    <t>Not being able to award the full number of Fellowships of a specific funding partnership</t>
  </si>
  <si>
    <t>- Inability to achieve target number of Fellowships
- Unable to attract funders
- Need to increase use of endowment
- Reputational damage to the charity as a partner</t>
  </si>
  <si>
    <t>It is not feasible to award sufficient Fellowships within that partnership</t>
  </si>
  <si>
    <t xml:space="preserve">Ensure the charity's communication plan reaches all possible sources of applicants. 
Ensure Funding Partnerships are supported by strong Knowledge Partner if a funding partner does not have strong networks or communication capacity
Good communication with partners ensuring expectations of all parties are clearly understood
Ensure funding criteria is realistic and put in place a strong partner and donor communications plan to prevent the loss of partnerships and other related Fellowship income.
Ensure funding criteria is realistic and not overly restrictive
</t>
  </si>
  <si>
    <t xml:space="preserve">Close monitoring of applications and communication channels.
Maintain good communication with partners and other sector contacts so that promotion of the Fellowships can be increased and widened if necessary.
</t>
  </si>
  <si>
    <t>R20</t>
  </si>
  <si>
    <t>A Partner's or Donor's failure to deliver committed knowledge objectives</t>
  </si>
  <si>
    <t>Knowledge objectives are not met for applications and dissemination</t>
  </si>
  <si>
    <t>Failure to deliver expected benefits to Fellows or TCF</t>
  </si>
  <si>
    <t>Failure to receive expected benefits</t>
  </si>
  <si>
    <t xml:space="preserve">Ensure that organisations’ objectives and values are aligned from the outset; and deliverables are specified to timelines
MOU put in place
</t>
  </si>
  <si>
    <t>Ongoing communications with partner to build strong relationship and clarity of expectations</t>
  </si>
  <si>
    <t>R21</t>
  </si>
  <si>
    <t>Poor performance by Investment Manager</t>
  </si>
  <si>
    <t>Financial losses on investments
Failure to achieve target returns
Reduced overall funding
More reliance on external funding</t>
  </si>
  <si>
    <t>Impact on the charity's ability to operate and to carry out Fellowship related activities</t>
  </si>
  <si>
    <t>COO</t>
  </si>
  <si>
    <t>ISC</t>
  </si>
  <si>
    <t>Poor investment performance against benchmarks and target returns</t>
  </si>
  <si>
    <t>Treat and/or Terminate</t>
  </si>
  <si>
    <t xml:space="preserve">Due diligence on selection of IM and conduct peer review
Investment Sub-Committee includes Trustees experienced in Investment Management and selection of Investment Managers
A 3 year review for measuring IM's performance
</t>
  </si>
  <si>
    <t>Regular review of IM performance
Change IM if necessary</t>
  </si>
  <si>
    <t>R22</t>
  </si>
  <si>
    <t>Increased volatility in the financial markets</t>
  </si>
  <si>
    <t>Losses in investment income and erosion of investment capital (Trust's endowment)
Inconsistent/volatile returns
May affect committed or prospective commitment by external funding partners and donors who are similarly affected</t>
  </si>
  <si>
    <t>Heightened reporting in financial markets of certain events
Heightened domestic and international political and economic tensions
Reporting of unusual/unexpected world events
Notification by Investment Manager
Unexpected volatility in world financial markets
Unexpected volatility in monthly performance of investment portfolio</t>
  </si>
  <si>
    <t>Volatility in financial markets is outside of the charity's control</t>
  </si>
  <si>
    <t xml:space="preserve">Consensus &amp; agreement on risk appetite by Trustees
Careful selection of Investment Manager (IM)
Ensure adequate diversification of investments are made by IM with an appropriate investment selection process, reflecting the charity's investment appetite and target returns
Regular review with IM by Investment Sub-Committee
Trustees quarterly review of reports submitted by Investment Sub-Committee
Review IM's performance - this would be incidental to the investments' performance
Consider adopting a smoothing measure or in extremis an income only approach.
</t>
  </si>
  <si>
    <t>R23</t>
  </si>
  <si>
    <t>Mismanagement of funds and investments outside agreed investment strategy by Investment Manager</t>
  </si>
  <si>
    <t xml:space="preserve">Unusual or unexplained activities in portfolio
3rd party claims against IM or invested funds
Portfolio shows investments not aligned with investment strategy
</t>
  </si>
  <si>
    <t xml:space="preserve">Due diligence on selection of IM and review IM's performance
The Trust to satisfy itself that IM has an adequate process of fund selection
Investment Sub-Committee consists of Trustees experienced in Investment Management and selection of Investment Managers
</t>
  </si>
  <si>
    <t>Regular review of investment portfolio and performance
Investigate and terminate investment management agreement if warranted
Take all necessary actions to preserve capital and reduce potential losses
Selection of blue chip investment manager, subject to full regulatory control</t>
  </si>
  <si>
    <t>R24</t>
  </si>
  <si>
    <t>Counterparty risk</t>
  </si>
  <si>
    <t>Loss of cash deposited in Lloyds, BlackRock, CCLA COIF account and that held on Schroders' balance sheet</t>
  </si>
  <si>
    <t>Impact on the charity's ability to operate and to carry out Fellowship related activities due to liquidity issues</t>
  </si>
  <si>
    <t xml:space="preserve">Deterioration in relative credit risk scoring against peers
Adverse changes to credit risk score
Notification by IM
Media reportiing of potential financial issues with the concerned institutions
</t>
  </si>
  <si>
    <t>Catastrophic</t>
  </si>
  <si>
    <t>Review of credit rating score: relative to peers, unexpected changes
Review with IM regarding their knowledge from the markets on the concerned institutions
Move investments to safer institutions if necessary
CCLA COIF account opened to mitigate risk.</t>
  </si>
  <si>
    <t>Move investments immediately if necessary</t>
  </si>
  <si>
    <t>R25</t>
  </si>
  <si>
    <t>Systems Breakdown at Investment Manager</t>
  </si>
  <si>
    <t>Delayed investment decisions
Distruption in cash flow requirements 
Loss of financial data
Increased costs</t>
  </si>
  <si>
    <t>CCLA COIF account opened</t>
  </si>
  <si>
    <t>Trustees annually review their business continuity, cyber security and their internal audit documentation to include ISAE 3402.</t>
  </si>
  <si>
    <t>R26</t>
  </si>
  <si>
    <t>Breach in custodianship of investments</t>
  </si>
  <si>
    <t>Loss of investments
Failure to protect the charity's assets</t>
  </si>
  <si>
    <t xml:space="preserve">Unusual or unexplained activities in portfolio
3rd party claims against Custodian
Portfolio shows unexpected decline in cost of investments
</t>
  </si>
  <si>
    <t>Schroder &amp; Co Bank AG owned by Schroders Plc are global sub custodian and they have three primary sub custodians: BNP  Paribas, Euroclear, and IS SegainterSettle.</t>
  </si>
  <si>
    <t>Quarterly investment reports and reviews with Cazenove.
Ensure Fund Manager has adequate level of PI cover
Ensure Trust's holdings are ring fenced - deposits at Schroders are not ringfenced</t>
  </si>
  <si>
    <t>R27</t>
  </si>
  <si>
    <t>Disorderly breakdown of financial markets</t>
  </si>
  <si>
    <t>Losses in investment income as well as investment capital (Trust's endowment)
May affect committed or prospective commitment by external funding partners and donors who are similarly affected</t>
  </si>
  <si>
    <t>Heightened reporting in financial markets of certain events
Heightened domestic and international political and economic tensions
Reporting of unusual/unexpected world events
Notification by Investment Manager
Unexpected volatility in world financial markets or the monthly performance of investment portfolio</t>
  </si>
  <si>
    <t>The occurrence of a financial crisis is outside of the charity's control</t>
  </si>
  <si>
    <t>Ensure there are regular reviews and monitoring of financial markets and world events to pick up signals of the possible unfolding of a financial crisis in order to make defensive investment decisions
The Trust should ensure IM has a crisis plan in place in the event of a financial crisis; the plan should be reviewed by Investment Sub-Committee
Don't react immediately.
Immediate review with IM and take all necessary actions to preserve capital and reduce losses where possible should a financial crisis have taken place
Use budgeting and cash spread to mitigate impact
Ensure reserves policy and cash reserves reflect what the charityees had agreed - review as often as the Trustees feel necessary
Check that custodial and depository arrangements are ring fenced - deposits at Schroders are not ringfenced</t>
  </si>
  <si>
    <t>R28</t>
  </si>
  <si>
    <t>Unfavourable 3rd party comments on social media concerning the charity, its activities or key personnel associated with TCF of any kind from any source, culminating negative publicity</t>
  </si>
  <si>
    <t>Reputational damage to the charity
Affects all current stakeholders associated with TCF, including Trustees, Council Members, staff and Fellows
Potential  stakeholders are disinclined to be associated with TCF</t>
  </si>
  <si>
    <t>Reduction of support from external stakeholders and may deter new applicants for the Fellowship
Failure to achieve the charity's objectives</t>
  </si>
  <si>
    <t xml:space="preserve">Informed of adverse comments by internal or external parties including all related stakeholders
Observed by the charity's own system of media monitoring
</t>
  </si>
  <si>
    <t xml:space="preserve">The charity regularly posts positive news to counteract any negative publicity, and is careful to project a positive impression of itself through its processes and behaviours
Effective comms policy including appropriate induction for staff (Social Media policy in staff handbook)
Monitor of media and social media output
Identify and anticipate potential controversies
</t>
  </si>
  <si>
    <t>Crisis plan
Damage control over media coverage on all platforms
Support affected key personnel where possible
Take control of the social media platform</t>
  </si>
  <si>
    <t>R29</t>
  </si>
  <si>
    <t>Threats and hostile actions from individuals or organisations (including Fellows or the public) to individuals or organisations associated with TCF</t>
  </si>
  <si>
    <t>Reputational damage to the charity by association or from misrepresentation
Threats to the charity's operation
Threats to the charity's personnel including Trustees and Council members</t>
  </si>
  <si>
    <t>The ability of the charity to operate and to carry out Fellowship related activities would be compromised
May affect Fellowship applications
Reduction of support from external stakeholders including donors, partners and influencers</t>
  </si>
  <si>
    <t>Direct contact from hostile party or affected individual
Results from all media monitoring</t>
  </si>
  <si>
    <t>Constant information sharing by senior staff on any potentially hostile individuals/ organisations, central record kept of hostiles past and present</t>
  </si>
  <si>
    <t xml:space="preserve">Crisis plan
Investigate and inform appropriate authorities, both government and security of Church House
Inform Trustees and carry out internal briefing to ensure safety of staff
Communicate with Fellows about potential threats if appropriate
</t>
  </si>
  <si>
    <t>R30</t>
  </si>
  <si>
    <t xml:space="preserve">Mistaken identity with another Churchill entity </t>
  </si>
  <si>
    <t>Reputational damage to the charity
Misleading information or coverage about the charity or its activities</t>
  </si>
  <si>
    <t>Temporary impact on the charity's operations</t>
  </si>
  <si>
    <t>Direct contact from individuals or organisations, media or social media coverage</t>
  </si>
  <si>
    <t>Insignificant</t>
  </si>
  <si>
    <t xml:space="preserve">Clear presentation of our identity and purpose on our website and all media and social media platforms
Monitor media and social media coverage for alerts
</t>
  </si>
  <si>
    <t>Crisis plan
Correct misinformation or misrepresentations</t>
  </si>
  <si>
    <t>R31</t>
  </si>
  <si>
    <t>Public criticism concerning our relationship to Winston Churchill</t>
  </si>
  <si>
    <t>Reduction of support from external stakeholders and may deter new applicants for the Fellowship
Damage to the value of the Fellowship
Threat of resignations from Fellows
Future recruitment of all stakeholders (e.g. Trustees, Council Members, Partners, Staff, etc.)
Staff retention</t>
  </si>
  <si>
    <t>Informed of adverse comments by internal or external parties including all related stakeholders
Observed by the charity's own system of media monitoring</t>
  </si>
  <si>
    <t>Make clear statements on the origin of the charity and its relationship with Sir Winston
Establish a clear position on anti-racism and the history related to comments made by Sir Winston
Establish a clear policy on equality, diversity and inclusion, and the steps to be taken to support the charity's position and statements made to the public</t>
  </si>
  <si>
    <t xml:space="preserve">Crisis plan
Damage control over media coverage on all platforms
Support affected key personnel where possible
</t>
  </si>
  <si>
    <t>R32</t>
  </si>
  <si>
    <t>Negative perceptions of TCF that we are not acting responsibly with regard to the environment</t>
  </si>
  <si>
    <t>Reputational damage affecting applicants, donors, partners, media.</t>
  </si>
  <si>
    <t xml:space="preserve">Potential cessation of donations from potential or existing donors and partners. Potential applicants may be deterred from applying for Fellowship. Failure to achieve the charity's objectives. </t>
  </si>
  <si>
    <t>Informed of adverse comments by internal or external parties including all related stakeholders. Reduction in number of applications. Observed by the charity's own system of media monitoring.</t>
  </si>
  <si>
    <t>Published statement on our website that covers: 
the value and purpose of Fellows’ travel and our steps towards a digital component of Fellowships
increased number of Fellowships under our  environment  theme, 
our plans and progress managing our organisational environmental impact -  eco-audit, covering our office footprint, our supply chain, our finances (donations, investments and banking) and staff training
Monitor media and social media output
Proactive publicity promoting positive profile of TCF
Identify and anticipate potential controversies</t>
  </si>
  <si>
    <t xml:space="preserve">Crisis plan
Damage control via appropriate media and individual conversations with partners, donors and other stakeholders
</t>
  </si>
  <si>
    <t>R33</t>
  </si>
  <si>
    <t>The endowment is invested in a way that undermines the TCF’s charitable purposes and values, and/or does not take into account ethical and sustainable considerations</t>
  </si>
  <si>
    <t>Poor financial performance &amp; reputational damage</t>
  </si>
  <si>
    <t>Stakeholders including partners, donors, supporters (eg Ambassadors), Trustees, Advisory Council, staff and Fellows are deterred from engagement with or support of TCF</t>
  </si>
  <si>
    <t>Adverse publicity, questions from stakeholders, withdrawal of partnerships and donations, difficulty recruiting new partners, donors, staff, Trustees, Advisory Council etc</t>
  </si>
  <si>
    <t>Medium</t>
  </si>
  <si>
    <t>•	Investment policy that clearly sets out TCF’s position on ethical and sustainable investing and is communicated to fund managers
•	Due diligence on selection of investment managers, particularly in relation to their position on ethical and sustainable investment strategies, and regular review of investment managers performance in relation to ethical and sustainable investing
•	The Trust to satisfy itself that investment manager has an adequate process of fund selection with regard to ethical and sustainable considerations
•	Investment Sub-Committee consists of Trustees experienced in investment management and selection of investment managers and an understanding of ethical and sustainable investing</t>
  </si>
  <si>
    <t>Discussions with fund managers at each committee meeting on progress engaging with companies held within the portfolio and divestment decisions taken.</t>
  </si>
  <si>
    <t>R34</t>
  </si>
  <si>
    <t>Reputational</t>
  </si>
  <si>
    <t xml:space="preserve">Accepting a donation that may cause reputational or organisational damage to the organisation as a result of scrutiny and criticism. </t>
  </si>
  <si>
    <t>•	Reputational damage 
•	Loss of income</t>
  </si>
  <si>
    <t xml:space="preserve">•	Use of our Accepting and Refusing Gifts Policy 
•	Use of the Charity Commission’s guidance on Accepting, Refusing and Returning Donations   and the Fundraising Regulator’s Code of Conduct and other relevant legislation 
•	Appropriate due diligence, proportionate to the size and nature of the donation, on the potential donor following internal template and internal thresholds 
•	Satisfactory completion of the Charity Commission’s Know Your Donor Key Questions 
•	Use of external due diligence agencies where appropriate
•	Donations not accepted without completion of ‘Know your donor’ questions 
•	All documentation to be shared on our CRM </t>
  </si>
  <si>
    <t>•	Preliminary due diligence completed before approaches made to potential donors
•	Following the decision-making steps outlined in our Accepting and Refusing Gifts Policy</t>
  </si>
  <si>
    <t>R35</t>
  </si>
  <si>
    <t>Governance</t>
  </si>
  <si>
    <t xml:space="preserve">Trustees not knowing or understanding their responsibilities and role of sub-committees </t>
  </si>
  <si>
    <t>Failure of Trustees to comply with the charity Deed fully and carry out their legal responsibilities under the relevant statue
May not have acted in the best interest of the Fellows (beneficiaries)</t>
  </si>
  <si>
    <t>Hinder Management's ability to achieve the charity's objectives or Management may be misdirected in its operation of the charity</t>
  </si>
  <si>
    <t>Chair</t>
  </si>
  <si>
    <t>Key decision-making unsupported by trustees</t>
  </si>
  <si>
    <t xml:space="preserve">Proper due diligence during recruitment process to ensure prospective Trustee possess adequate experience required or the capacity to acquire the necessary knowledge and skills
Induction of Trustees undertaken by Chief Executive, Chair and COO. Induction pack to include Charity Commission's Charity Governance Code, information on a Trustee's legal responsibility and the relevant Terms of Reference
Training requirement for Trustees
</t>
  </si>
  <si>
    <t>Trustee training where necessary and review induction process</t>
  </si>
  <si>
    <t>R36</t>
  </si>
  <si>
    <t>Conflict of Interest breach by Trustees</t>
  </si>
  <si>
    <t>Reputational risk
Inappropriate or incorrect actions taken or decisions made by Trustees</t>
  </si>
  <si>
    <t>Small and temporary impact on the charity awarding grants to Fellows</t>
  </si>
  <si>
    <t xml:space="preserve">Non-disclosure by Trustees
Informed by internal or external parties
Media reports connecting Trustees with relevant events or organisations
</t>
  </si>
  <si>
    <t>Conflicts of interest recorded at each Trustees' or Sub-committee meeting where appropriate
Annual related party declarations by Trustees</t>
  </si>
  <si>
    <t>On Board, committee and council agendas at every meeting</t>
  </si>
  <si>
    <t>R37</t>
  </si>
  <si>
    <t>Trustees' or Advisory Council Members' misconduct</t>
  </si>
  <si>
    <t>Potential cessation of donations from potential or existing donors
Potential applicants may be deterred from applying for Fellowship</t>
  </si>
  <si>
    <t>Informed by internal or external parties regarding the misconduct, including regular and online social media broadcasts or reports
Behaviour or conversation observed internally including by members of the Board of Trustees and/or the Advisory Council</t>
  </si>
  <si>
    <t>Proper due diligence during recruitment process including appropriate background checks and personal character references to be taken
Induction of Trustees undertaken by Chief Executive. Induction pack to include Charity Commission's Charity Governance Code and information on a Trustee's legal responsibility
Training requirement for Trustees
Adequate whistle blowing provisions to enable early warning to senior management</t>
  </si>
  <si>
    <t>Crisis plan
Damage control over media coverage of all platforms
Proceed with disciplinary procedures if applicable</t>
  </si>
  <si>
    <t>R38</t>
  </si>
  <si>
    <t>Employees' misconduct</t>
  </si>
  <si>
    <t>Reputational and operational damage to the charity</t>
  </si>
  <si>
    <t>Potential cessation of donations from potential or existing donors
Potential applicants may be deterred from applying for Fellowship
Decrease in operational capability</t>
  </si>
  <si>
    <t>Rem &amp; Nom</t>
  </si>
  <si>
    <t>Informed by internal or external parties regarding the misconduct, including regular or online social media broadcasts or reports
Behaviour or conversation observed internally</t>
  </si>
  <si>
    <t>Proper due diligence during recruitment process including appropriate background checks and personal character references to be taken
Employment terms include fit for purpose Code of Conduct clause and proper Disciplinary &amp; Grievance Policy and Procedures routinely reviewed and updated to ensure adequacy and applicability
Effective line management and appraisals
Adequate whistle blowing provisions to enable early warning to senior management</t>
  </si>
  <si>
    <t>Investigate and proceed with disciplinary procedures  if applicable. If necessary, immediate suspension until investigation is complete
Damage control over media coverage of all platforms if necessary</t>
  </si>
  <si>
    <t>R39</t>
  </si>
  <si>
    <t>Stress or burnout due to excessive workloads or lack of wellbeing support</t>
  </si>
  <si>
    <t>Increase in staff absences and staff turnover, reduced performance levels, low morale</t>
  </si>
  <si>
    <t>Inability to attract and retain staff leading to inability to deliver charitable objectives</t>
  </si>
  <si>
    <t>Increase in staff absences and staff turnover</t>
  </si>
  <si>
    <t>•	Employee Assistance programme and wellbeing resources available to all staff
•	Ensure job descriptions are realistic and reviewed regularly
•	Ensure objectives are realistic and achievable
•	Regularly review progress against objectives to catch issues early
•	Ensure organisational culture includes ensuring staff take leave through the year and do not access emails or carry out work during annual leave
•	Develop a supportive culture through training of line managers to enable staff to flag issues early</t>
  </si>
  <si>
    <t>R40</t>
  </si>
  <si>
    <t xml:space="preserve">Change in senior management </t>
  </si>
  <si>
    <t>Loss of leadership
Loss of knowledge and required skills to operate the charity and carry out Fellowship related activities
Staff morale and confidence in the charity lowered</t>
  </si>
  <si>
    <t>The ability of the charity to operate and to carry out Fellowship related activities in a productive and effective manner
Potential impact on external funding
Potential impact on future applications for Fellowship</t>
  </si>
  <si>
    <t>Trust notified by senior management of resignation
Increased absence from office
Unexpected non-performance
Dissatisfaction expressed by senior management individuals at appraisals
From other internal observation</t>
  </si>
  <si>
    <t xml:space="preserve">Ensure clear understanding of terms of employment
Ensure the appraisal system is constructive and effective and processes are in place and senior management receives positive encouragement and feedback where it is due
Ensure professional HR advice is available to Trustees and the Chief Executive
Ensure remuneration levels are in line with market rates and regularly reviewed.
Ensure regular 1:1s are conducted between the Chief Executive and the senior team, and between all line managers and their teams. </t>
  </si>
  <si>
    <t>Ensure correct induction and handover between outgoing and incoming individual
Ensure good HR and exit processes are in place
Succession planning 
Ensure staff are trained by key individuals and tasks are known and undertaken by more than 1 staff</t>
  </si>
  <si>
    <t>R41</t>
  </si>
  <si>
    <t>Key-Person risk - over dependence on key individuals</t>
  </si>
  <si>
    <t>Knowledge, skills, capabilities and abilities are transferred from the charity to the individuals over time
Work flow and productivity of the charity are attached to the individuals rather than the charity
Reputation of the charity becomes attached to the individuals rather than the charity</t>
  </si>
  <si>
    <t>The Trust's operations could be compromised, including the ability to raise external funds, to attract quality applicants for the Fellowship, to retain staff and to attract quality new employees
Could affect staff confidence and morale</t>
  </si>
  <si>
    <t>Increased absence from office
Unexpected non-performance
Staff unable to perform certain tasks when key individuals are absent</t>
  </si>
  <si>
    <t xml:space="preserve">Ensure processes and procedures are documented
Ensure staff are trained by key individuals and tasks are known and undertaken by more than 1 staff
Succession planning
Regular review of operational structure by Trustees
Weekly staff meetings to understand priorities and workload
Key-Man insurance if appropriate
</t>
  </si>
  <si>
    <t>Recruit qualified interim staff to provide cover
Communicate with insurer regarding potential claim</t>
  </si>
  <si>
    <t>R42</t>
  </si>
  <si>
    <t xml:space="preserve">Failure to comply with current employment legislation (e.g. right to work, national minimum wage, working time regs, the Equality Act etc) </t>
  </si>
  <si>
    <t>Legal claims, fines, reduced staff morale, loss of talent, reputational damage</t>
  </si>
  <si>
    <t>Inability to attract and retain staff, partners, Trustees, Advisory Council members and to generate income from donors leading to inability to deliver charitable objectives</t>
  </si>
  <si>
    <t xml:space="preserve">High staff turnover, adverse publicity, questions from stakeholders </t>
  </si>
  <si>
    <t>•	Ensure access to up-to-date legal/HR advice
•	Conduct periodic HR compliance audit
•	Review and update contracts and policies regularly
•	Ensure inclusive employment practices are regularly reviewed and updated
•	Training of relevant staff eg People and Culture Manager and line managers, including in inclusive employment practices</t>
  </si>
  <si>
    <t>Seek legal advice</t>
  </si>
  <si>
    <t>R43</t>
  </si>
  <si>
    <t>Mis-management of Human Resources</t>
  </si>
  <si>
    <t>Reputational damage to the charity
High staff turnover, low morale and recruitment issues
Disruption to the charity's operations
Increased risk of employment related disputes, lawsuits or claims
Investigation from the Charity Commission on Safeguarding grounds</t>
  </si>
  <si>
    <t>The ability of the charity to carry out Fellowship related activities and the day-to-day operations
Potential financial loss due to employment related claims</t>
  </si>
  <si>
    <t>Increased employee complaints
Employee dissatisfaction
Increased staff turnover
Poor performance
Breach of confidentiality</t>
  </si>
  <si>
    <t>Ensure clear understanding of terms of employment and adequate induction
Ensure adequate appraisal system and processes are in place and staff receives quality appraisals from management
Ensure good HR and exit processes are in place
Ensure professional HR advice is available to Trustees and executive
Ensure Remuneration Policy in place
Ensure adequate insurance cover for employee litigation</t>
  </si>
  <si>
    <t>Assess and make appropriate adjustments to HR policies, processes and procedures
Seek professional and legal advice
Communicate with insurer
Trustees or CE make necessary personel changes
Communication with staff</t>
  </si>
  <si>
    <t>R44</t>
  </si>
  <si>
    <t xml:space="preserve">Poor management of consultants working on the behalf of TCF </t>
  </si>
  <si>
    <t>Reputational damage to the charity
Intended objective of the relevant work not achieved</t>
  </si>
  <si>
    <t>Setback of a project's progress and related financial costs wasted</t>
  </si>
  <si>
    <t>Failure to reach project timelines and objectives</t>
  </si>
  <si>
    <t xml:space="preserve">Ensure appropriate induction and contract terms established including a project plan where appropriate
Exercise appropriate oversight and supervision
Ongoing regular reports and monitoring
</t>
  </si>
  <si>
    <t>Investigate and seek recourse from consultant contract if possible
Take any corrective measures and salvage the project if possible</t>
  </si>
  <si>
    <t>R45</t>
  </si>
  <si>
    <t>Pandemic risk</t>
  </si>
  <si>
    <t>Reduced manpower for the charity's operations
Fellows unable to travel
Suppliers/service providers unable to deliver services</t>
  </si>
  <si>
    <t>Adverse impact on the ability of the charity to operate and to carry out Fellowship related activities
Potential impact on external funding
Potential impact on future applications for Fellowship</t>
  </si>
  <si>
    <t>Announcements by:
- affected country(ies)
- World Health Organisation
- UK Government agencies
News and media reports</t>
  </si>
  <si>
    <t xml:space="preserve">The occurrence of a pandemic is outside of the charity's control and therefore there are no mitigation actions that would reduce the likelihood of a pandemic occuring
</t>
  </si>
  <si>
    <t xml:space="preserve">Procedures for:
- business continuity plan
- guidance to Fellows at all stages of their travelling
- internal policy for staff for operations
- SLT to discuss and for subsequent decision making
Follow government advice
Close monitoring of the situation
</t>
  </si>
  <si>
    <t>R46</t>
  </si>
  <si>
    <t>Terrorism, fire or flooding</t>
  </si>
  <si>
    <t>The Trust's office premises become inaccessible or severely restricted
Operations at the charity's office premises become impossible</t>
  </si>
  <si>
    <t>The ability of the charity to operate and to carry out its Fellowship related activities would be compromised</t>
  </si>
  <si>
    <t>Media reports
CH Property Managers alert; fire alarm, emergency services attendance</t>
  </si>
  <si>
    <t>Tolerate, Treat and Transfer</t>
  </si>
  <si>
    <t>Business Continuity Plan in place - staff all able to wfh, all software is cloud-based
Adequate commercial and terrorism insurance cover put in place after review by Trustees and circulation to the ARG</t>
  </si>
  <si>
    <t xml:space="preserve">BCP put into action
Claim against relevant insurance cover
</t>
  </si>
  <si>
    <t>R47</t>
  </si>
  <si>
    <t>Breaches in Cybersecurity affecting the charity's data held by TCF including website, social media platforms, fraud and server</t>
  </si>
  <si>
    <t>Loss of control and the ability to operate including all processes related to the Fellowship
Loss of personal data of all stakeholders associated with the charity
Loss of control over the charity's social media platform
Reputational damage to the charity
Regulatory implications with the Charity Commission and the ICO</t>
  </si>
  <si>
    <t>The ability of the charity to operate and to carry out Fellowship related activities would be compromised, may threaten the existence of the Fellowship programme</t>
  </si>
  <si>
    <t xml:space="preserve">ARG
</t>
  </si>
  <si>
    <t>Media reports of expected cyber attacks
Notifications from IT service providers of unusual and suspicious activities or increased incidents of unauthorised logins</t>
  </si>
  <si>
    <t xml:space="preserve">The system having a strong anti-virus and malware software to defend possible attacks by cyber criminals
Strong security policies in the system to filter and quarantine potential damaging emails
Regular training to staff regarding cyber security and regular warnings/reminders to all staff particularly when new staff join
Monitor press coverage for warnings of expected cyber attacks
Regular review of Cybersecurity with IT service providers
Ensure regular system and data backup by relevant IT service provider
</t>
  </si>
  <si>
    <t xml:space="preserve">Immediate reporting to the ICO and the Charity Commission
Contact IT service provider immediately
Contact insurance policy provider immediately so that system related mitigation actions are taken, including the use of alternative site when appropriate
Execute comms plan to communicate with Fellows, Partners and applicants and other stakeholders.
Activate business Continuity Plan </t>
  </si>
  <si>
    <t>R48</t>
  </si>
  <si>
    <t>Trustees not adequately indemnified and protected for potential claims against personal liability</t>
  </si>
  <si>
    <t>Trustees pesonally liable for claims against them
Loss of governance by Board of Trustees
Potential issues with retention and recruitment of Trustees
Reputational damage to the charity</t>
  </si>
  <si>
    <t>Loss of support from Trustees and potential financial compensation to be paid to Trustees
Reduced financial resources for the charity's operations and Fellowship related activities</t>
  </si>
  <si>
    <t>3rd party claims against Trustees</t>
  </si>
  <si>
    <t>Trustees' incorp. as a body and £2m risk policy in place. 
Trustees liability insurance in place</t>
  </si>
  <si>
    <t>Contact insurer</t>
  </si>
  <si>
    <t>R49</t>
  </si>
  <si>
    <t>Failure of Internal Controls</t>
  </si>
  <si>
    <t>Increased risk of financial fraud/theft
Increased risk of inaccurate reporting
Increased risk of failure to protect the charity's assets
Legal/regulatory enforcement actions</t>
  </si>
  <si>
    <t>Loss of financial capability
Loss of confidence by Trustees, funding partners and donors in Management's ability to achieve objectives
Potential suspension of the charity's activities by the Charity Commission</t>
  </si>
  <si>
    <t xml:space="preserve">Unexplained or unusual financial or asset movements, both in terms of size and timing of transactions
</t>
  </si>
  <si>
    <t>Implement the 4 Eyes Principle, i.e. require 2 persons' approval, sign-off or checking. This includes accounting journals as well as payments
Monthly closing of accounts
Implement mandatory taking of 2 weeks holiday each year for finance staff
Continuous monitoring and training of staff
Annual Audit
Ensure proper due diligence on recruitment of staff</t>
  </si>
  <si>
    <t>Crisis plan
Inform Trustees and carry out internal briefing to staff
If the consequence is financial fraud or theft, seek legal advice if necessary; inform appropriate authorities including Charity Commission
Communicate with insurer</t>
  </si>
  <si>
    <t>R50</t>
  </si>
  <si>
    <t>Trustees and management operate outside of the charity objectives as prescribed in the charity Deed</t>
  </si>
  <si>
    <t>Charity Commission investigation
Potential liability claims as a result of the unconstitutional activities
Reputaional damage to the charity</t>
  </si>
  <si>
    <t>Potential forced suspension of operations 
Potential cessation of donations from potential or existing donors
Potential applicants may be deterred from applying for Fellowship</t>
  </si>
  <si>
    <t>Unusual instructions or authorisations in charitable activities that have not been carried out by the charity before
Unexpected beneficiaries from charitable activities</t>
  </si>
  <si>
    <t xml:space="preserve">Ensure Trustees and Staff are fully aware of principal charitable objects as set out in the charity Deed
Ensure day to day activities of the charity are linked to stated and approved strategic objectives
Management plan sets out annual objectives and is reviewed regularly by Trustees and staff
</t>
  </si>
  <si>
    <t>Convene emergency Trustees meeting to agree and approve action plan including any required regulatory reporting of the event</t>
  </si>
  <si>
    <t>R51</t>
  </si>
  <si>
    <t>Non compliance with relevant and applicable legislation and regulatory requirements, including but not limited to, GDPR, Safeguarding, Charity Commission requirements</t>
  </si>
  <si>
    <t>Legal and/or regulatory enforcement actions
Reputational damage to the charity and its stakeholders</t>
  </si>
  <si>
    <t>Suspension of the charity's activities</t>
  </si>
  <si>
    <t>Formal notification</t>
  </si>
  <si>
    <t>COO ensures CE and Ts up to date with legislation
Annual Audit
Governance and statutory requirements monitored by ARG and Rem &amp; Nom Committees, supported by the COO</t>
  </si>
  <si>
    <t>Take corrective measures immediately</t>
  </si>
  <si>
    <t>Stakeholders including current and future partners, donors, supporters (eg Ambassadors), Trustees, Advisory Council, staff and Fellows are deterred from engagement with or support of TCF
Current stakeholders resign from or terminate relationships with TCF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</si>
</sst>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0"/>
  </numFmts>
  <fonts count="16" x14ac:knownFonts="1">
    <font>
      <sz val="11"/>
      <color theme="1"/>
      <name val="Calibri"/>
      <family val="2"/>
      <scheme val="minor"/>
    </font>
    <font>
      <sz val="11"/>
      <color rgb="FFFF0000"/>
      <name val="Calibri"/>
      <family val="2"/>
      <scheme val="minor"/>
    </font>
    <font>
      <b/>
      <sz val="12"/>
      <name val="Calibri"/>
      <family val="2"/>
      <scheme val="minor"/>
    </font>
    <font>
      <b/>
      <sz val="11"/>
      <name val="Calibri"/>
      <family val="2"/>
      <scheme val="minor"/>
    </font>
    <font>
      <b/>
      <i/>
      <sz val="11"/>
      <name val="Calibri"/>
      <family val="2"/>
      <scheme val="minor"/>
    </font>
    <font>
      <b/>
      <sz val="16"/>
      <name val="Calibri"/>
      <family val="2"/>
      <scheme val="minor"/>
    </font>
    <font>
      <sz val="12"/>
      <name val="Calibri"/>
      <family val="2"/>
      <scheme val="minor"/>
    </font>
    <font>
      <sz val="11"/>
      <name val="Calibri"/>
      <family val="2"/>
      <scheme val="minor"/>
    </font>
    <font>
      <b/>
      <i/>
      <sz val="16"/>
      <name val="Calibri"/>
      <family val="2"/>
      <scheme val="minor"/>
    </font>
    <font>
      <i/>
      <sz val="12"/>
      <name val="Calibri"/>
      <family val="2"/>
      <scheme val="minor"/>
    </font>
    <font>
      <b/>
      <sz val="16"/>
      <color theme="1"/>
      <name val="Calibri"/>
      <family val="2"/>
      <scheme val="minor"/>
    </font>
    <font>
      <sz val="12"/>
      <color theme="1"/>
      <name val="Calibri"/>
      <family val="2"/>
      <scheme val="minor"/>
    </font>
    <font>
      <sz val="11"/>
      <color theme="1"/>
      <name val="Georgia"/>
      <family val="1"/>
    </font>
    <font>
      <b/>
      <sz val="16"/>
      <color rgb="FFFF0000"/>
      <name val="Calibri"/>
      <family val="2"/>
      <scheme val="minor"/>
    </font>
    <font>
      <sz val="12"/>
      <name val="Calibri"/>
      <family val="2"/>
    </font>
    <font>
      <b/>
      <i/>
      <sz val="12"/>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0"/>
        <bgColor indexed="64"/>
      </patternFill>
    </fill>
    <fill>
      <patternFill patternType="solid">
        <fgColor theme="1"/>
        <bgColor indexed="64"/>
      </patternFill>
    </fill>
  </fills>
  <borders count="7">
    <border>
      <left/>
      <right/>
      <top/>
      <bottom/>
      <diagonal/>
    </border>
    <border>
      <left/>
      <right/>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hair">
        <color auto="1"/>
      </left>
      <right/>
      <top/>
      <bottom style="hair">
        <color auto="1"/>
      </bottom>
      <diagonal/>
    </border>
  </borders>
  <cellStyleXfs count="1">
    <xf numFmtId="0" fontId="0" fillId="0" borderId="0"/>
  </cellStyleXfs>
  <cellXfs count="106">
    <xf numFmtId="0" fontId="0" fillId="0" borderId="0" xfId="0"/>
    <xf numFmtId="0" fontId="2" fillId="0" borderId="0" xfId="0" applyFont="1" applyAlignment="1" applyProtection="1">
      <alignment vertical="top"/>
      <protection locked="0"/>
    </xf>
    <xf numFmtId="0" fontId="3" fillId="0" borderId="0" xfId="0" applyFont="1" applyAlignment="1" applyProtection="1">
      <alignment vertical="top"/>
      <protection locked="0"/>
    </xf>
    <xf numFmtId="0" fontId="2" fillId="0" borderId="0" xfId="0" applyFont="1" applyAlignment="1" applyProtection="1">
      <alignment vertical="top" wrapText="1"/>
      <protection locked="0"/>
    </xf>
    <xf numFmtId="0" fontId="4" fillId="0" borderId="1" xfId="0" applyFont="1" applyBorder="1" applyAlignment="1" applyProtection="1">
      <alignment horizontal="center" vertical="center"/>
      <protection locked="0"/>
    </xf>
    <xf numFmtId="0" fontId="4" fillId="0" borderId="1" xfId="0" applyFont="1" applyBorder="1" applyAlignment="1" applyProtection="1">
      <alignment vertical="center"/>
      <protection locked="0"/>
    </xf>
    <xf numFmtId="0" fontId="4" fillId="0" borderId="1" xfId="0" applyFont="1" applyBorder="1" applyAlignment="1" applyProtection="1">
      <alignment vertical="center" wrapText="1"/>
      <protection locked="0"/>
    </xf>
    <xf numFmtId="0" fontId="4" fillId="2"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protection locked="0"/>
    </xf>
    <xf numFmtId="0" fontId="4" fillId="2" borderId="1" xfId="0" applyFont="1" applyFill="1" applyBorder="1" applyAlignment="1" applyProtection="1">
      <alignment vertical="center"/>
      <protection locked="0"/>
    </xf>
    <xf numFmtId="0" fontId="4" fillId="3" borderId="1" xfId="0" applyFont="1" applyFill="1" applyBorder="1" applyAlignment="1" applyProtection="1">
      <alignment vertical="center" wrapText="1"/>
      <protection locked="0"/>
    </xf>
    <xf numFmtId="0" fontId="4" fillId="4" borderId="1" xfId="0" applyFont="1" applyFill="1" applyBorder="1" applyAlignment="1" applyProtection="1">
      <alignment horizontal="center" vertical="center" wrapText="1"/>
      <protection locked="0"/>
    </xf>
    <xf numFmtId="0" fontId="4" fillId="4" borderId="1" xfId="0" applyFont="1" applyFill="1" applyBorder="1" applyAlignment="1" applyProtection="1">
      <alignment horizontal="center" vertical="center"/>
      <protection locked="0"/>
    </xf>
    <xf numFmtId="0" fontId="4" fillId="0" borderId="0" xfId="0" applyFont="1" applyAlignment="1" applyProtection="1">
      <alignment horizontal="center" vertical="top" wrapText="1"/>
      <protection locked="0"/>
    </xf>
    <xf numFmtId="0" fontId="4" fillId="0" borderId="0" xfId="0" applyFont="1" applyAlignment="1" applyProtection="1">
      <alignment vertical="center"/>
      <protection locked="0"/>
    </xf>
    <xf numFmtId="164" fontId="2" fillId="0" borderId="0" xfId="0" applyNumberFormat="1" applyFont="1" applyAlignment="1">
      <alignment horizontal="center" vertical="top"/>
    </xf>
    <xf numFmtId="0" fontId="5" fillId="0" borderId="0" xfId="0" applyFont="1" applyAlignment="1" applyProtection="1">
      <alignment horizontal="center" vertical="center" textRotation="90"/>
      <protection locked="0"/>
    </xf>
    <xf numFmtId="0" fontId="6" fillId="0" borderId="0" xfId="0" applyFont="1" applyAlignment="1" applyProtection="1">
      <alignment vertical="top" wrapText="1"/>
      <protection locked="0"/>
    </xf>
    <xf numFmtId="0" fontId="5" fillId="2" borderId="0" xfId="0" applyFont="1" applyFill="1" applyAlignment="1" applyProtection="1">
      <alignment horizontal="center" vertical="center" textRotation="90"/>
      <protection locked="0"/>
    </xf>
    <xf numFmtId="0" fontId="5" fillId="2" borderId="0" xfId="0" applyFont="1" applyFill="1" applyAlignment="1" applyProtection="1">
      <alignment horizontal="center" vertical="center" textRotation="90" wrapText="1"/>
      <protection locked="0"/>
    </xf>
    <xf numFmtId="0" fontId="7" fillId="0" borderId="0" xfId="0" applyFont="1" applyAlignment="1" applyProtection="1">
      <alignment horizontal="left" vertical="top" wrapText="1"/>
      <protection locked="0"/>
    </xf>
    <xf numFmtId="0" fontId="6" fillId="3" borderId="0" xfId="0" applyFont="1" applyFill="1" applyAlignment="1" applyProtection="1">
      <alignment horizontal="left" vertical="top" wrapText="1"/>
      <protection locked="0"/>
    </xf>
    <xf numFmtId="0" fontId="6" fillId="3" borderId="0" xfId="0" applyFont="1" applyFill="1" applyAlignment="1" applyProtection="1">
      <alignment vertical="top" wrapText="1"/>
      <protection locked="0"/>
    </xf>
    <xf numFmtId="0" fontId="5" fillId="4" borderId="0" xfId="0" applyFont="1" applyFill="1" applyAlignment="1" applyProtection="1">
      <alignment horizontal="center" vertical="center" textRotation="90" wrapText="1"/>
      <protection locked="0"/>
    </xf>
    <xf numFmtId="0" fontId="5" fillId="4" borderId="0" xfId="0" applyFont="1" applyFill="1" applyAlignment="1" applyProtection="1">
      <alignment horizontal="center" vertical="center" textRotation="90"/>
      <protection locked="0"/>
    </xf>
    <xf numFmtId="0" fontId="4" fillId="0" borderId="0" xfId="0" applyFont="1" applyAlignment="1" applyProtection="1">
      <alignment vertical="top"/>
      <protection locked="0"/>
    </xf>
    <xf numFmtId="164" fontId="2" fillId="0" borderId="2" xfId="0" applyNumberFormat="1" applyFont="1" applyBorder="1" applyAlignment="1">
      <alignment horizontal="center" vertical="top"/>
    </xf>
    <xf numFmtId="0" fontId="5" fillId="0" borderId="2" xfId="0" applyFont="1" applyBorder="1" applyAlignment="1" applyProtection="1">
      <alignment horizontal="center" vertical="center" textRotation="90"/>
      <protection locked="0"/>
    </xf>
    <xf numFmtId="0" fontId="6" fillId="0" borderId="2" xfId="0" applyFont="1" applyBorder="1" applyAlignment="1" applyProtection="1">
      <alignment vertical="top" wrapText="1"/>
      <protection locked="0"/>
    </xf>
    <xf numFmtId="0" fontId="5" fillId="2" borderId="3" xfId="0" applyFont="1" applyFill="1" applyBorder="1" applyAlignment="1" applyProtection="1">
      <alignment horizontal="center" vertical="center" textRotation="90"/>
      <protection locked="0"/>
    </xf>
    <xf numFmtId="0" fontId="5" fillId="2" borderId="3" xfId="0" applyFont="1" applyFill="1" applyBorder="1" applyAlignment="1" applyProtection="1">
      <alignment horizontal="center" vertical="center" textRotation="90" wrapText="1"/>
      <protection locked="0"/>
    </xf>
    <xf numFmtId="0" fontId="7" fillId="0" borderId="2" xfId="0" applyFont="1" applyBorder="1" applyAlignment="1" applyProtection="1">
      <alignment horizontal="left" vertical="top" wrapText="1"/>
      <protection locked="0"/>
    </xf>
    <xf numFmtId="0" fontId="6" fillId="3" borderId="2" xfId="0" applyFont="1" applyFill="1" applyBorder="1" applyAlignment="1" applyProtection="1">
      <alignment horizontal="left" vertical="top" wrapText="1"/>
      <protection locked="0"/>
    </xf>
    <xf numFmtId="0" fontId="6" fillId="3" borderId="2" xfId="0" applyFont="1" applyFill="1" applyBorder="1" applyAlignment="1" applyProtection="1">
      <alignment vertical="top" wrapText="1"/>
      <protection locked="0"/>
    </xf>
    <xf numFmtId="0" fontId="8" fillId="2" borderId="2" xfId="0" applyFont="1" applyFill="1" applyBorder="1" applyAlignment="1" applyProtection="1">
      <alignment vertical="center" textRotation="90" wrapText="1"/>
      <protection locked="0"/>
    </xf>
    <xf numFmtId="0" fontId="5" fillId="2" borderId="2" xfId="0" applyFont="1" applyFill="1" applyBorder="1" applyAlignment="1" applyProtection="1">
      <alignment horizontal="center" vertical="center" textRotation="90"/>
      <protection locked="0"/>
    </xf>
    <xf numFmtId="0" fontId="8" fillId="2" borderId="2" xfId="0" applyFont="1" applyFill="1" applyBorder="1" applyAlignment="1" applyProtection="1">
      <alignment horizontal="center" vertical="center" textRotation="90" wrapText="1"/>
      <protection locked="0"/>
    </xf>
    <xf numFmtId="0" fontId="5" fillId="4" borderId="2" xfId="0" applyFont="1" applyFill="1" applyBorder="1" applyAlignment="1" applyProtection="1">
      <alignment horizontal="center" vertical="center" textRotation="90" wrapText="1"/>
      <protection locked="0"/>
    </xf>
    <xf numFmtId="0" fontId="5" fillId="4" borderId="2" xfId="0" applyFont="1" applyFill="1" applyBorder="1" applyAlignment="1" applyProtection="1">
      <alignment horizontal="center" vertical="center" textRotation="90"/>
      <protection locked="0"/>
    </xf>
    <xf numFmtId="0" fontId="5" fillId="4" borderId="4" xfId="0" applyFont="1" applyFill="1" applyBorder="1" applyAlignment="1" applyProtection="1">
      <alignment horizontal="center" vertical="center" textRotation="90"/>
      <protection locked="0"/>
    </xf>
    <xf numFmtId="17" fontId="7" fillId="0" borderId="5" xfId="0" applyNumberFormat="1" applyFont="1" applyBorder="1" applyAlignment="1" applyProtection="1">
      <alignment vertical="top"/>
      <protection locked="0"/>
    </xf>
    <xf numFmtId="0" fontId="7" fillId="0" borderId="0" xfId="0" applyFont="1" applyProtection="1">
      <protection locked="0"/>
    </xf>
    <xf numFmtId="0" fontId="5" fillId="2" borderId="2" xfId="0" applyFont="1" applyFill="1" applyBorder="1" applyAlignment="1" applyProtection="1">
      <alignment horizontal="center" vertical="center" textRotation="90" wrapText="1"/>
      <protection locked="0"/>
    </xf>
    <xf numFmtId="0" fontId="7" fillId="0" borderId="5" xfId="0" applyFont="1" applyBorder="1" applyAlignment="1" applyProtection="1">
      <alignment vertical="top"/>
      <protection locked="0"/>
    </xf>
    <xf numFmtId="0" fontId="5" fillId="4" borderId="3" xfId="0" applyFont="1" applyFill="1" applyBorder="1" applyAlignment="1" applyProtection="1">
      <alignment horizontal="center" vertical="center" textRotation="90"/>
      <protection locked="0"/>
    </xf>
    <xf numFmtId="0" fontId="5" fillId="4" borderId="3" xfId="0" applyFont="1" applyFill="1" applyBorder="1" applyAlignment="1" applyProtection="1">
      <alignment horizontal="center" vertical="center" textRotation="90" wrapText="1"/>
      <protection locked="0"/>
    </xf>
    <xf numFmtId="0" fontId="6" fillId="0" borderId="2" xfId="0" applyFont="1" applyBorder="1" applyAlignment="1" applyProtection="1">
      <alignment horizontal="left" vertical="top" wrapText="1"/>
      <protection locked="0"/>
    </xf>
    <xf numFmtId="0" fontId="5" fillId="4" borderId="2" xfId="0" applyFont="1" applyFill="1" applyBorder="1" applyAlignment="1" applyProtection="1">
      <alignment vertical="center" textRotation="90" wrapText="1"/>
      <protection locked="0"/>
    </xf>
    <xf numFmtId="0" fontId="7" fillId="0" borderId="0" xfId="0" applyFont="1" applyAlignment="1" applyProtection="1">
      <alignment vertical="top"/>
      <protection locked="0"/>
    </xf>
    <xf numFmtId="0" fontId="6" fillId="0" borderId="2" xfId="0" applyFont="1" applyBorder="1" applyAlignment="1" applyProtection="1">
      <alignment vertical="top" wrapText="1" shrinkToFit="1"/>
      <protection locked="0"/>
    </xf>
    <xf numFmtId="0" fontId="5" fillId="2" borderId="2" xfId="0" applyFont="1" applyFill="1" applyBorder="1" applyAlignment="1" applyProtection="1">
      <alignment vertical="center" textRotation="90" wrapText="1"/>
      <protection locked="0"/>
    </xf>
    <xf numFmtId="0" fontId="5" fillId="0" borderId="3" xfId="0" applyFont="1" applyBorder="1" applyAlignment="1" applyProtection="1">
      <alignment horizontal="center" vertical="center" textRotation="90"/>
      <protection locked="0"/>
    </xf>
    <xf numFmtId="0" fontId="6" fillId="0" borderId="3" xfId="0" applyFont="1" applyBorder="1" applyAlignment="1" applyProtection="1">
      <alignment vertical="top" wrapText="1"/>
      <protection locked="0"/>
    </xf>
    <xf numFmtId="0" fontId="7" fillId="0" borderId="3" xfId="0" applyFont="1" applyBorder="1" applyAlignment="1" applyProtection="1">
      <alignment horizontal="left" vertical="top" wrapText="1"/>
      <protection locked="0"/>
    </xf>
    <xf numFmtId="0" fontId="6" fillId="3" borderId="3" xfId="0" applyFont="1" applyFill="1" applyBorder="1" applyAlignment="1" applyProtection="1">
      <alignment horizontal="left" vertical="top" wrapText="1"/>
      <protection locked="0"/>
    </xf>
    <xf numFmtId="0" fontId="6" fillId="3" borderId="3" xfId="0" applyFont="1" applyFill="1" applyBorder="1" applyAlignment="1" applyProtection="1">
      <alignment vertical="top" wrapText="1"/>
      <protection locked="0"/>
    </xf>
    <xf numFmtId="0" fontId="5" fillId="4" borderId="3" xfId="0" applyFont="1" applyFill="1" applyBorder="1" applyAlignment="1" applyProtection="1">
      <alignment vertical="center" textRotation="90" wrapText="1"/>
      <protection locked="0"/>
    </xf>
    <xf numFmtId="0" fontId="5" fillId="4" borderId="6" xfId="0" applyFont="1" applyFill="1" applyBorder="1" applyAlignment="1" applyProtection="1">
      <alignment horizontal="center" vertical="center" textRotation="90"/>
      <protection locked="0"/>
    </xf>
    <xf numFmtId="0" fontId="6" fillId="0" borderId="2" xfId="0" quotePrefix="1" applyFont="1" applyBorder="1" applyAlignment="1" applyProtection="1">
      <alignment vertical="top" wrapText="1"/>
      <protection locked="0"/>
    </xf>
    <xf numFmtId="0" fontId="10" fillId="0" borderId="2" xfId="0" applyFont="1" applyBorder="1" applyAlignment="1" applyProtection="1">
      <alignment horizontal="center" vertical="center" textRotation="90"/>
      <protection locked="0"/>
    </xf>
    <xf numFmtId="0" fontId="11" fillId="0" borderId="2" xfId="0" applyFont="1" applyBorder="1" applyAlignment="1" applyProtection="1">
      <alignment vertical="top" wrapText="1"/>
      <protection locked="0"/>
    </xf>
    <xf numFmtId="0" fontId="11" fillId="0" borderId="2" xfId="0" applyFont="1" applyBorder="1" applyAlignment="1" applyProtection="1">
      <alignment vertical="top" wrapText="1" shrinkToFit="1"/>
      <protection locked="0"/>
    </xf>
    <xf numFmtId="0" fontId="12" fillId="0" borderId="2" xfId="0" applyFont="1" applyBorder="1" applyAlignment="1">
      <alignment vertical="center" wrapText="1"/>
    </xf>
    <xf numFmtId="0" fontId="10" fillId="2" borderId="3" xfId="0" applyFont="1" applyFill="1" applyBorder="1" applyAlignment="1" applyProtection="1">
      <alignment horizontal="center" vertical="center" textRotation="90"/>
      <protection locked="0"/>
    </xf>
    <xf numFmtId="0" fontId="10" fillId="2" borderId="3" xfId="0" applyFont="1" applyFill="1" applyBorder="1" applyAlignment="1" applyProtection="1">
      <alignment horizontal="center" vertical="center" textRotation="90" wrapText="1"/>
      <protection locked="0"/>
    </xf>
    <xf numFmtId="0" fontId="13" fillId="2" borderId="3" xfId="0" applyFont="1" applyFill="1" applyBorder="1" applyAlignment="1" applyProtection="1">
      <alignment horizontal="center" vertical="center" textRotation="90"/>
      <protection locked="0"/>
    </xf>
    <xf numFmtId="0" fontId="6" fillId="3" borderId="2" xfId="0" applyFont="1" applyFill="1" applyBorder="1" applyAlignment="1" applyProtection="1">
      <alignment vertical="top"/>
      <protection locked="0"/>
    </xf>
    <xf numFmtId="0" fontId="11" fillId="3" borderId="2" xfId="0" applyFont="1" applyFill="1" applyBorder="1" applyAlignment="1" applyProtection="1">
      <alignment vertical="top" wrapText="1"/>
      <protection locked="0"/>
    </xf>
    <xf numFmtId="0" fontId="10" fillId="2" borderId="2" xfId="0" applyFont="1" applyFill="1" applyBorder="1" applyAlignment="1" applyProtection="1">
      <alignment horizontal="center" vertical="center" textRotation="90" wrapText="1"/>
      <protection locked="0"/>
    </xf>
    <xf numFmtId="0" fontId="10" fillId="2" borderId="2" xfId="0" applyFont="1" applyFill="1" applyBorder="1" applyAlignment="1" applyProtection="1">
      <alignment horizontal="center" vertical="center" textRotation="90"/>
      <protection locked="0"/>
    </xf>
    <xf numFmtId="0" fontId="13" fillId="4" borderId="4" xfId="0" applyFont="1" applyFill="1" applyBorder="1" applyAlignment="1" applyProtection="1">
      <alignment horizontal="center" vertical="center" textRotation="90"/>
      <protection locked="0"/>
    </xf>
    <xf numFmtId="0" fontId="1" fillId="0" borderId="5" xfId="0" applyFont="1" applyBorder="1" applyAlignment="1" applyProtection="1">
      <alignment vertical="top"/>
      <protection locked="0"/>
    </xf>
    <xf numFmtId="0" fontId="1" fillId="0" borderId="0" xfId="0" applyFont="1" applyProtection="1">
      <protection locked="0"/>
    </xf>
    <xf numFmtId="0" fontId="14" fillId="3" borderId="2" xfId="0" applyFont="1" applyFill="1" applyBorder="1" applyAlignment="1" applyProtection="1">
      <alignment horizontal="left" vertical="top" wrapText="1"/>
      <protection locked="0"/>
    </xf>
    <xf numFmtId="0" fontId="11" fillId="0" borderId="2" xfId="0" applyFont="1" applyBorder="1" applyAlignment="1">
      <alignment vertical="top" wrapText="1"/>
    </xf>
    <xf numFmtId="0" fontId="2" fillId="0" borderId="3" xfId="0" applyFont="1" applyBorder="1" applyAlignment="1" applyProtection="1">
      <alignment horizontal="center" vertical="center" textRotation="90"/>
      <protection locked="0"/>
    </xf>
    <xf numFmtId="0" fontId="2" fillId="0" borderId="3" xfId="0" applyFont="1" applyBorder="1" applyAlignment="1" applyProtection="1">
      <alignment horizontal="center" vertical="center" textRotation="90" wrapText="1"/>
      <protection locked="0"/>
    </xf>
    <xf numFmtId="0" fontId="5" fillId="0" borderId="3" xfId="0" applyFont="1" applyBorder="1" applyAlignment="1" applyProtection="1">
      <alignment horizontal="center" vertical="center" textRotation="90" wrapText="1"/>
      <protection locked="0"/>
    </xf>
    <xf numFmtId="0" fontId="5" fillId="0" borderId="2" xfId="0" applyFont="1" applyBorder="1" applyAlignment="1" applyProtection="1">
      <alignment horizontal="center" vertical="center" textRotation="90" wrapText="1"/>
      <protection locked="0"/>
    </xf>
    <xf numFmtId="0" fontId="5" fillId="0" borderId="2" xfId="0" applyFont="1" applyBorder="1" applyAlignment="1" applyProtection="1">
      <alignment horizontal="center" vertical="top" textRotation="90" wrapText="1"/>
      <protection locked="0"/>
    </xf>
    <xf numFmtId="0" fontId="5" fillId="0" borderId="2" xfId="0" applyFont="1" applyBorder="1" applyAlignment="1" applyProtection="1">
      <alignment horizontal="center" vertical="top" textRotation="90"/>
      <protection locked="0"/>
    </xf>
    <xf numFmtId="0" fontId="5" fillId="0" borderId="4" xfId="0" applyFont="1" applyBorder="1" applyAlignment="1" applyProtection="1">
      <alignment horizontal="center" vertical="center" textRotation="90"/>
      <protection locked="0"/>
    </xf>
    <xf numFmtId="0" fontId="12" fillId="0" borderId="2" xfId="0" applyFont="1" applyBorder="1" applyAlignment="1">
      <alignment vertical="top" wrapText="1"/>
    </xf>
    <xf numFmtId="0" fontId="11" fillId="3" borderId="2" xfId="0" applyFont="1" applyFill="1" applyBorder="1" applyAlignment="1">
      <alignment vertical="top" wrapText="1"/>
    </xf>
    <xf numFmtId="0" fontId="5" fillId="4" borderId="2" xfId="0" applyFont="1" applyFill="1" applyBorder="1" applyAlignment="1" applyProtection="1">
      <alignment horizontal="center" vertical="top" textRotation="90" wrapText="1"/>
      <protection locked="0"/>
    </xf>
    <xf numFmtId="0" fontId="5" fillId="4" borderId="2" xfId="0" applyFont="1" applyFill="1" applyBorder="1" applyAlignment="1" applyProtection="1">
      <alignment horizontal="center" vertical="top" textRotation="90"/>
      <protection locked="0"/>
    </xf>
    <xf numFmtId="0" fontId="12" fillId="3" borderId="2" xfId="0" applyFont="1" applyFill="1" applyBorder="1" applyAlignment="1">
      <alignment vertical="top" wrapText="1"/>
    </xf>
    <xf numFmtId="0" fontId="14" fillId="3" borderId="2" xfId="0" applyFont="1" applyFill="1" applyBorder="1" applyAlignment="1" applyProtection="1">
      <alignment vertical="top" wrapText="1"/>
      <protection locked="0"/>
    </xf>
    <xf numFmtId="0" fontId="5" fillId="5" borderId="2" xfId="0" applyFont="1" applyFill="1" applyBorder="1" applyAlignment="1" applyProtection="1">
      <alignment horizontal="center" vertical="center" textRotation="90" wrapText="1"/>
      <protection locked="0"/>
    </xf>
    <xf numFmtId="0" fontId="6" fillId="5" borderId="2" xfId="0" applyFont="1" applyFill="1" applyBorder="1" applyAlignment="1" applyProtection="1">
      <alignment vertical="top" wrapText="1"/>
      <protection locked="0"/>
    </xf>
    <xf numFmtId="0" fontId="6" fillId="5" borderId="2" xfId="0" applyFont="1" applyFill="1" applyBorder="1" applyAlignment="1" applyProtection="1">
      <alignment horizontal="left" vertical="top" wrapText="1"/>
      <protection locked="0"/>
    </xf>
    <xf numFmtId="0" fontId="15" fillId="6" borderId="2" xfId="0" applyFont="1" applyFill="1" applyBorder="1" applyAlignment="1" applyProtection="1">
      <alignment horizontal="center"/>
      <protection locked="0"/>
    </xf>
    <xf numFmtId="0" fontId="4" fillId="6" borderId="2" xfId="0" applyFont="1" applyFill="1" applyBorder="1" applyProtection="1">
      <protection locked="0"/>
    </xf>
    <xf numFmtId="0" fontId="15" fillId="6" borderId="3" xfId="0" applyFont="1" applyFill="1" applyBorder="1" applyAlignment="1" applyProtection="1">
      <alignment horizontal="center"/>
      <protection locked="0"/>
    </xf>
    <xf numFmtId="0" fontId="4" fillId="6" borderId="3" xfId="0" applyFont="1" applyFill="1" applyBorder="1" applyAlignment="1" applyProtection="1">
      <alignment horizontal="center"/>
      <protection locked="0"/>
    </xf>
    <xf numFmtId="0" fontId="4" fillId="6" borderId="2" xfId="0" applyFont="1" applyFill="1" applyBorder="1" applyAlignment="1" applyProtection="1">
      <alignment horizontal="center"/>
      <protection locked="0"/>
    </xf>
    <xf numFmtId="0" fontId="15" fillId="6" borderId="4" xfId="0" applyFont="1" applyFill="1" applyBorder="1" applyAlignment="1" applyProtection="1">
      <alignment horizontal="center"/>
      <protection locked="0"/>
    </xf>
    <xf numFmtId="0" fontId="7" fillId="6" borderId="5" xfId="0" applyFont="1" applyFill="1" applyBorder="1" applyAlignment="1" applyProtection="1">
      <alignment vertical="top"/>
      <protection locked="0"/>
    </xf>
    <xf numFmtId="0" fontId="2" fillId="0" borderId="0" xfId="0" applyFont="1" applyProtection="1">
      <protection locked="0"/>
    </xf>
    <xf numFmtId="0" fontId="6" fillId="0" borderId="0" xfId="0" applyFont="1" applyProtection="1">
      <protection locked="0"/>
    </xf>
    <xf numFmtId="0" fontId="6" fillId="0" borderId="0" xfId="0" applyFont="1" applyAlignment="1" applyProtection="1">
      <alignment wrapText="1"/>
      <protection locked="0"/>
    </xf>
    <xf numFmtId="0" fontId="6" fillId="0" borderId="0" xfId="0" applyFont="1" applyAlignment="1" applyProtection="1">
      <alignment horizontal="center" wrapText="1"/>
      <protection locked="0"/>
    </xf>
    <xf numFmtId="0" fontId="7" fillId="0" borderId="0" xfId="0" applyFont="1" applyAlignment="1" applyProtection="1">
      <alignment horizontal="center"/>
      <protection locked="0"/>
    </xf>
    <xf numFmtId="0" fontId="6" fillId="0" borderId="0" xfId="0" applyFont="1" applyAlignment="1" applyProtection="1">
      <alignment horizontal="center"/>
      <protection locked="0"/>
    </xf>
    <xf numFmtId="0" fontId="3" fillId="2" borderId="0" xfId="0" applyFont="1" applyFill="1" applyAlignment="1" applyProtection="1">
      <alignment horizontal="center" vertical="center" wrapText="1"/>
      <protection locked="0"/>
    </xf>
    <xf numFmtId="0" fontId="3" fillId="3" borderId="0" xfId="0" applyFont="1" applyFill="1" applyAlignment="1" applyProtection="1">
      <alignment horizontal="center" vertical="center"/>
      <protection locked="0"/>
    </xf>
  </cellXfs>
  <cellStyles count="1">
    <cellStyle name="Normal" xfId="0" builtinId="0"/>
  </cellStyles>
  <dxfs count="3">
    <dxf>
      <font>
        <color auto="1"/>
      </font>
      <fill>
        <patternFill>
          <bgColor rgb="FFFF0000"/>
        </patternFill>
      </fill>
    </dxf>
    <dxf>
      <font>
        <color auto="1"/>
      </font>
      <fill>
        <patternFill>
          <bgColor theme="7"/>
        </patternFill>
      </fill>
    </dxf>
    <dxf>
      <font>
        <color auto="1"/>
      </font>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instonchurchill.sharepoint.com/Shared%20Documents/SharedDocs/Risk/2%20Risk/Register/2026/20260120%20-%20WCMT%20RISK%20REGISTER%20-%20JLW.xlsm" TargetMode="External"/><Relationship Id="rId1" Type="http://schemas.openxmlformats.org/officeDocument/2006/relationships/externalLinkPath" Target="https://winstonchurchill.sharepoint.com/Shared%20Documents/SharedDocs/Risk/2%20Risk/Register/2026/20260120%20-%20WCMT%20RISK%20REGISTER%20-%20JL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gister by Residual Risk"/>
      <sheetName val="OLD - Register by Residual Risk"/>
      <sheetName val="OLD - Watch List"/>
      <sheetName val="Definitions &amp; Interpretation"/>
      <sheetName val="Structure"/>
      <sheetName val="Process Flow Chart"/>
      <sheetName val="Summary"/>
      <sheetName val="Changes 2023"/>
      <sheetName val="Incidents 2023"/>
      <sheetName val="ID No Longer Used"/>
      <sheetName val="Partnerships and Communications"/>
      <sheetName val="Audit and Risk"/>
      <sheetName val="Investment committee"/>
      <sheetName val="Governance and Nominations"/>
      <sheetName val="Heat Map Table"/>
      <sheetName val="Pivot Table"/>
      <sheetName val="Heat Maps"/>
      <sheetName val="Heat Map Graphic 2"/>
      <sheetName val="Combined"/>
      <sheetName val="Framework"/>
      <sheetName val="Heat Map"/>
    </sheetNames>
    <sheetDataSet>
      <sheetData sheetId="0"/>
      <sheetData sheetId="1"/>
      <sheetData sheetId="2"/>
      <sheetData sheetId="3">
        <row r="58">
          <cell r="A58" t="str">
            <v>Audit, Risk and Governance</v>
          </cell>
        </row>
        <row r="59">
          <cell r="A59" t="str">
            <v>Nominations and Remuneration</v>
          </cell>
        </row>
        <row r="60">
          <cell r="A60" t="str">
            <v>Investment</v>
          </cell>
        </row>
        <row r="61">
          <cell r="A61" t="str">
            <v>Development and Communications</v>
          </cell>
        </row>
        <row r="62">
          <cell r="A62" t="str">
            <v>N/A</v>
          </cell>
        </row>
      </sheetData>
      <sheetData sheetId="4">
        <row r="48">
          <cell r="A48" t="str">
            <v>Remote</v>
          </cell>
          <cell r="B48">
            <v>1</v>
          </cell>
          <cell r="D48" t="str">
            <v>Insignificant</v>
          </cell>
          <cell r="E48">
            <v>1</v>
          </cell>
        </row>
        <row r="49">
          <cell r="A49" t="str">
            <v>Unlikely</v>
          </cell>
          <cell r="B49">
            <v>2</v>
          </cell>
          <cell r="D49" t="str">
            <v>Minor</v>
          </cell>
          <cell r="E49">
            <v>2</v>
          </cell>
        </row>
        <row r="50">
          <cell r="A50" t="str">
            <v>Possible</v>
          </cell>
          <cell r="B50">
            <v>3</v>
          </cell>
          <cell r="D50" t="str">
            <v>Moderate</v>
          </cell>
          <cell r="E50">
            <v>3</v>
          </cell>
        </row>
        <row r="51">
          <cell r="A51" t="str">
            <v>Likely</v>
          </cell>
          <cell r="B51">
            <v>4</v>
          </cell>
          <cell r="D51" t="str">
            <v>Major</v>
          </cell>
          <cell r="E51">
            <v>4</v>
          </cell>
        </row>
        <row r="52">
          <cell r="A52" t="str">
            <v>Almost Certain</v>
          </cell>
          <cell r="B52">
            <v>5</v>
          </cell>
          <cell r="D52" t="str">
            <v>Catastrophic</v>
          </cell>
          <cell r="E52">
            <v>5</v>
          </cell>
        </row>
        <row r="61">
          <cell r="A61" t="str">
            <v>Treat</v>
          </cell>
        </row>
        <row r="62">
          <cell r="A62" t="str">
            <v>Tolerate</v>
          </cell>
        </row>
        <row r="63">
          <cell r="A63" t="str">
            <v>Terminate</v>
          </cell>
        </row>
        <row r="64">
          <cell r="A64" t="str">
            <v>Transfer</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02700-0784-4C73-BD54-781F7E6E0BFB}">
  <sheetPr codeName="Sheet19">
    <tabColor rgb="FFFF0000"/>
    <pageSetUpPr fitToPage="1"/>
  </sheetPr>
  <dimension ref="A1:X55"/>
  <sheetViews>
    <sheetView tabSelected="1" zoomScale="96" zoomScaleNormal="96" workbookViewId="0">
      <pane xSplit="3" ySplit="3" topLeftCell="D4" activePane="bottomRight" state="frozen"/>
      <selection pane="topRight" activeCell="D1" sqref="D1"/>
      <selection pane="bottomLeft" activeCell="A4" sqref="A4"/>
      <selection pane="bottomRight" activeCell="E35" sqref="E35"/>
    </sheetView>
  </sheetViews>
  <sheetFormatPr defaultColWidth="9.44140625" defaultRowHeight="15.6" x14ac:dyDescent="0.3"/>
  <cols>
    <col min="1" max="1" width="9.5546875" style="98" customWidth="1"/>
    <col min="2" max="2" width="5.5546875" style="41" customWidth="1"/>
    <col min="3" max="5" width="45.5546875" style="99" customWidth="1"/>
    <col min="6" max="6" width="12" style="99" customWidth="1"/>
    <col min="7" max="7" width="12.44140625" style="99" customWidth="1"/>
    <col min="8" max="8" width="26.88671875" style="100" customWidth="1"/>
    <col min="9" max="9" width="10.5546875" style="101" customWidth="1"/>
    <col min="10" max="10" width="12.5546875" style="102" hidden="1" customWidth="1"/>
    <col min="11" max="11" width="10.5546875" style="103" customWidth="1"/>
    <col min="12" max="13" width="12.5546875" style="102" hidden="1" customWidth="1"/>
    <col min="14" max="14" width="7.5546875" style="103" customWidth="1"/>
    <col min="15" max="15" width="16" style="41" hidden="1" customWidth="1"/>
    <col min="16" max="16" width="45.5546875" style="99" customWidth="1"/>
    <col min="17" max="17" width="58.109375" style="99" customWidth="1"/>
    <col min="18" max="18" width="10.5546875" style="101" customWidth="1"/>
    <col min="19" max="19" width="12.5546875" style="102" hidden="1" customWidth="1"/>
    <col min="20" max="20" width="10.5546875" style="103" customWidth="1"/>
    <col min="21" max="22" width="12.5546875" style="102" hidden="1" customWidth="1"/>
    <col min="23" max="23" width="7.5546875" style="99" customWidth="1"/>
    <col min="24" max="24" width="9.44140625" style="48"/>
    <col min="25" max="16384" width="9.44140625" style="41"/>
  </cols>
  <sheetData>
    <row r="1" spans="1:24" s="2" customFormat="1" ht="30" customHeight="1" x14ac:dyDescent="0.3">
      <c r="A1" s="1"/>
      <c r="C1" s="1"/>
      <c r="D1" s="1"/>
      <c r="E1" s="1"/>
      <c r="F1" s="1"/>
      <c r="G1" s="1"/>
      <c r="H1" s="3"/>
      <c r="I1" s="104" t="s">
        <v>0</v>
      </c>
      <c r="J1" s="104"/>
      <c r="K1" s="104"/>
      <c r="L1" s="104"/>
      <c r="M1" s="104"/>
      <c r="N1" s="104"/>
      <c r="P1" s="105" t="s">
        <v>1</v>
      </c>
      <c r="Q1" s="105"/>
      <c r="R1" s="104" t="s">
        <v>2</v>
      </c>
      <c r="S1" s="104"/>
      <c r="T1" s="104"/>
      <c r="U1" s="104"/>
      <c r="V1" s="104"/>
      <c r="W1" s="104"/>
    </row>
    <row r="2" spans="1:24" s="14" customFormat="1" ht="28.8" x14ac:dyDescent="0.3">
      <c r="A2" s="4" t="s">
        <v>3</v>
      </c>
      <c r="B2" s="5" t="s">
        <v>4</v>
      </c>
      <c r="C2" s="5" t="s">
        <v>5</v>
      </c>
      <c r="D2" s="5" t="s">
        <v>6</v>
      </c>
      <c r="E2" s="5" t="s">
        <v>7</v>
      </c>
      <c r="F2" s="5" t="s">
        <v>8</v>
      </c>
      <c r="G2" s="6" t="s">
        <v>9</v>
      </c>
      <c r="H2" s="6" t="s">
        <v>10</v>
      </c>
      <c r="I2" s="7" t="s">
        <v>11</v>
      </c>
      <c r="J2" s="7" t="s">
        <v>12</v>
      </c>
      <c r="K2" s="8" t="s">
        <v>13</v>
      </c>
      <c r="L2" s="7" t="s">
        <v>14</v>
      </c>
      <c r="M2" s="8" t="s">
        <v>15</v>
      </c>
      <c r="N2" s="9"/>
      <c r="O2" s="5" t="s">
        <v>16</v>
      </c>
      <c r="P2" s="10" t="s">
        <v>17</v>
      </c>
      <c r="Q2" s="10" t="s">
        <v>18</v>
      </c>
      <c r="R2" s="7" t="s">
        <v>11</v>
      </c>
      <c r="S2" s="7" t="s">
        <v>12</v>
      </c>
      <c r="T2" s="8" t="s">
        <v>13</v>
      </c>
      <c r="U2" s="11" t="s">
        <v>14</v>
      </c>
      <c r="V2" s="12" t="s">
        <v>15</v>
      </c>
      <c r="W2" s="9"/>
      <c r="X2" s="13" t="s">
        <v>19</v>
      </c>
    </row>
    <row r="3" spans="1:24" s="25" customFormat="1" ht="1.5" customHeight="1" x14ac:dyDescent="0.3">
      <c r="A3" s="15" t="s">
        <v>20</v>
      </c>
      <c r="B3" s="16" t="s">
        <v>21</v>
      </c>
      <c r="C3" s="17" t="s">
        <v>22</v>
      </c>
      <c r="D3" s="17" t="s">
        <v>23</v>
      </c>
      <c r="E3" s="17" t="s">
        <v>24</v>
      </c>
      <c r="F3" s="17" t="s">
        <v>25</v>
      </c>
      <c r="G3" s="17" t="s">
        <v>26</v>
      </c>
      <c r="H3" s="17" t="s">
        <v>27</v>
      </c>
      <c r="I3" s="18" t="s">
        <v>28</v>
      </c>
      <c r="J3" s="18">
        <f>VLOOKUP(I3,[1]Structure!$A$48:$B$52,2,FALSE)</f>
        <v>3</v>
      </c>
      <c r="K3" s="19" t="s">
        <v>29</v>
      </c>
      <c r="L3" s="19">
        <f>VLOOKUP(K3,[1]Structure!$D$48:$E$52,2,FALSE)</f>
        <v>3</v>
      </c>
      <c r="M3" s="18">
        <f t="shared" ref="M3:M35" si="0">+J3*L3</f>
        <v>9</v>
      </c>
      <c r="N3" s="18" t="str">
        <f t="shared" ref="N3:N35" si="1">IF(M3&gt;12,"High",IF(M3&lt;=5,"Low",IF(AND(M3&gt;=6,M3&lt;=12),"Medium")))</f>
        <v>Medium</v>
      </c>
      <c r="O3" s="20" t="s">
        <v>30</v>
      </c>
      <c r="P3" s="21" t="s">
        <v>31</v>
      </c>
      <c r="Q3" s="22" t="s">
        <v>32</v>
      </c>
      <c r="R3" s="19" t="s">
        <v>33</v>
      </c>
      <c r="S3" s="18">
        <f>VLOOKUP(R3,[1]Structure!$A$48:$B$52,2,FALSE)</f>
        <v>2</v>
      </c>
      <c r="T3" s="19" t="s">
        <v>29</v>
      </c>
      <c r="U3" s="23">
        <f>VLOOKUP(T3,[1]Structure!$D$48:$E$52,2,FALSE)</f>
        <v>3</v>
      </c>
      <c r="V3" s="24">
        <f t="shared" ref="V3:V35" si="2">+S3*U3</f>
        <v>6</v>
      </c>
      <c r="W3" s="24" t="str">
        <f t="shared" ref="W3:W54" si="3">IF(V3&gt;12,"High",IF(V3&lt;=5,"Low",IF(AND(V3&gt;=6,V3&lt;=12),"Medium")))</f>
        <v>Medium</v>
      </c>
    </row>
    <row r="4" spans="1:24" ht="187.35" customHeight="1" x14ac:dyDescent="0.3">
      <c r="A4" s="26" t="s">
        <v>34</v>
      </c>
      <c r="B4" s="27" t="s">
        <v>21</v>
      </c>
      <c r="C4" s="28" t="s">
        <v>35</v>
      </c>
      <c r="D4" s="28" t="s">
        <v>36</v>
      </c>
      <c r="E4" s="28" t="s">
        <v>37</v>
      </c>
      <c r="F4" s="28" t="s">
        <v>38</v>
      </c>
      <c r="G4" s="28" t="s">
        <v>39</v>
      </c>
      <c r="H4" s="28" t="s">
        <v>40</v>
      </c>
      <c r="I4" s="29" t="s">
        <v>28</v>
      </c>
      <c r="J4" s="29">
        <f>VLOOKUP(I4,[1]Structure!$A$48:$B$52,2,FALSE)</f>
        <v>3</v>
      </c>
      <c r="K4" s="30" t="s">
        <v>41</v>
      </c>
      <c r="L4" s="30">
        <f>VLOOKUP(K4,[1]Structure!$D$48:$E$52,2,FALSE)</f>
        <v>4</v>
      </c>
      <c r="M4" s="29">
        <f t="shared" si="0"/>
        <v>12</v>
      </c>
      <c r="N4" s="29" t="str">
        <f t="shared" si="1"/>
        <v>Medium</v>
      </c>
      <c r="O4" s="31"/>
      <c r="P4" s="32" t="s">
        <v>42</v>
      </c>
      <c r="Q4" s="33" t="s">
        <v>43</v>
      </c>
      <c r="R4" s="34" t="s">
        <v>33</v>
      </c>
      <c r="S4" s="35">
        <f>VLOOKUP(R4,[1]Structure!$A$48:$B$52,2,FALSE)</f>
        <v>2</v>
      </c>
      <c r="T4" s="36" t="s">
        <v>29</v>
      </c>
      <c r="U4" s="37">
        <f>VLOOKUP(T4,[1]Structure!$D$48:$E$52,2,FALSE)</f>
        <v>3</v>
      </c>
      <c r="V4" s="38">
        <f t="shared" si="2"/>
        <v>6</v>
      </c>
      <c r="W4" s="39" t="str">
        <f t="shared" si="3"/>
        <v>Medium</v>
      </c>
      <c r="X4" s="40">
        <v>45962</v>
      </c>
    </row>
    <row r="5" spans="1:24" ht="327.60000000000002" x14ac:dyDescent="0.3">
      <c r="A5" s="26" t="s">
        <v>44</v>
      </c>
      <c r="B5" s="27" t="s">
        <v>21</v>
      </c>
      <c r="C5" s="28" t="s">
        <v>45</v>
      </c>
      <c r="D5" s="28" t="s">
        <v>46</v>
      </c>
      <c r="E5" s="28" t="s">
        <v>47</v>
      </c>
      <c r="F5" s="28" t="s">
        <v>48</v>
      </c>
      <c r="G5" s="28" t="s">
        <v>26</v>
      </c>
      <c r="H5" s="28" t="s">
        <v>49</v>
      </c>
      <c r="I5" s="29" t="s">
        <v>28</v>
      </c>
      <c r="J5" s="29">
        <f>VLOOKUP(I5,[1]Structure!$A$48:$B$52,2,FALSE)</f>
        <v>3</v>
      </c>
      <c r="K5" s="30" t="s">
        <v>41</v>
      </c>
      <c r="L5" s="30">
        <f>VLOOKUP(K5,[1]Structure!$D$48:$E$52,2,FALSE)</f>
        <v>4</v>
      </c>
      <c r="M5" s="29">
        <f t="shared" si="0"/>
        <v>12</v>
      </c>
      <c r="N5" s="29" t="str">
        <f t="shared" si="1"/>
        <v>Medium</v>
      </c>
      <c r="O5" s="31" t="s">
        <v>50</v>
      </c>
      <c r="P5" s="33" t="s">
        <v>51</v>
      </c>
      <c r="Q5" s="33" t="s">
        <v>52</v>
      </c>
      <c r="R5" s="42" t="s">
        <v>28</v>
      </c>
      <c r="S5" s="35">
        <f>VLOOKUP(R5,[1]Structure!$A$48:$B$52,2,FALSE)</f>
        <v>3</v>
      </c>
      <c r="T5" s="42" t="s">
        <v>29</v>
      </c>
      <c r="U5" s="37">
        <f>VLOOKUP(T5,[1]Structure!$D$48:$E$52,2,FALSE)</f>
        <v>3</v>
      </c>
      <c r="V5" s="38">
        <f t="shared" si="2"/>
        <v>9</v>
      </c>
      <c r="W5" s="39" t="str">
        <f t="shared" si="3"/>
        <v>Medium</v>
      </c>
      <c r="X5" s="43"/>
    </row>
    <row r="6" spans="1:24" ht="202.8" x14ac:dyDescent="0.3">
      <c r="A6" s="26" t="s">
        <v>53</v>
      </c>
      <c r="B6" s="27" t="s">
        <v>21</v>
      </c>
      <c r="C6" s="28" t="s">
        <v>54</v>
      </c>
      <c r="D6" s="28" t="s">
        <v>55</v>
      </c>
      <c r="E6" s="28" t="s">
        <v>56</v>
      </c>
      <c r="F6" s="28" t="s">
        <v>25</v>
      </c>
      <c r="G6" s="28" t="s">
        <v>39</v>
      </c>
      <c r="H6" s="28" t="s">
        <v>57</v>
      </c>
      <c r="I6" s="44" t="s">
        <v>28</v>
      </c>
      <c r="J6" s="44">
        <f>VLOOKUP(I6,[1]Structure!$A$48:$B$52,2,FALSE)</f>
        <v>3</v>
      </c>
      <c r="K6" s="45" t="s">
        <v>29</v>
      </c>
      <c r="L6" s="30">
        <f>VLOOKUP(K6,[1]Structure!$D$48:$E$52,2,FALSE)</f>
        <v>3</v>
      </c>
      <c r="M6" s="29">
        <f t="shared" si="0"/>
        <v>9</v>
      </c>
      <c r="N6" s="29" t="str">
        <f t="shared" si="1"/>
        <v>Medium</v>
      </c>
      <c r="O6" s="31" t="s">
        <v>58</v>
      </c>
      <c r="P6" s="32" t="s">
        <v>59</v>
      </c>
      <c r="Q6" s="33" t="s">
        <v>60</v>
      </c>
      <c r="R6" s="37" t="s">
        <v>33</v>
      </c>
      <c r="S6" s="38">
        <f>VLOOKUP(R6,[1]Structure!$A$48:$B$52,2,FALSE)</f>
        <v>2</v>
      </c>
      <c r="T6" s="37" t="s">
        <v>61</v>
      </c>
      <c r="U6" s="37">
        <f>VLOOKUP(T6,[1]Structure!$D$48:$E$52,2,FALSE)</f>
        <v>2</v>
      </c>
      <c r="V6" s="38">
        <f t="shared" si="2"/>
        <v>4</v>
      </c>
      <c r="W6" s="39" t="str">
        <f t="shared" si="3"/>
        <v>Low</v>
      </c>
      <c r="X6" s="43"/>
    </row>
    <row r="7" spans="1:24" s="48" customFormat="1" ht="156" x14ac:dyDescent="0.3">
      <c r="A7" s="26" t="s">
        <v>62</v>
      </c>
      <c r="B7" s="27" t="s">
        <v>21</v>
      </c>
      <c r="C7" s="28" t="s">
        <v>63</v>
      </c>
      <c r="D7" s="28" t="s">
        <v>64</v>
      </c>
      <c r="E7" s="28" t="s">
        <v>65</v>
      </c>
      <c r="F7" s="28" t="s">
        <v>48</v>
      </c>
      <c r="G7" s="46" t="s">
        <v>26</v>
      </c>
      <c r="H7" s="28" t="s">
        <v>66</v>
      </c>
      <c r="I7" s="44" t="s">
        <v>33</v>
      </c>
      <c r="J7" s="44">
        <f>VLOOKUP(I7,[1]Structure!$A$48:$B$52,2,FALSE)</f>
        <v>2</v>
      </c>
      <c r="K7" s="45" t="s">
        <v>41</v>
      </c>
      <c r="L7" s="30">
        <f>VLOOKUP(K7,[1]Structure!$D$48:$E$52,2,FALSE)</f>
        <v>4</v>
      </c>
      <c r="M7" s="29">
        <f t="shared" si="0"/>
        <v>8</v>
      </c>
      <c r="N7" s="29" t="str">
        <f t="shared" si="1"/>
        <v>Medium</v>
      </c>
      <c r="O7" s="31"/>
      <c r="P7" s="32" t="s">
        <v>67</v>
      </c>
      <c r="Q7" s="33" t="s">
        <v>68</v>
      </c>
      <c r="R7" s="47" t="s">
        <v>33</v>
      </c>
      <c r="S7" s="38">
        <f>VLOOKUP(R7,[1]Structure!$A$48:$B$52,2,FALSE)</f>
        <v>2</v>
      </c>
      <c r="T7" s="37" t="s">
        <v>29</v>
      </c>
      <c r="U7" s="37">
        <f>VLOOKUP(T7,[1]Structure!$D$48:$E$52,2,FALSE)</f>
        <v>3</v>
      </c>
      <c r="V7" s="38">
        <f t="shared" si="2"/>
        <v>6</v>
      </c>
      <c r="W7" s="39" t="str">
        <f t="shared" si="3"/>
        <v>Medium</v>
      </c>
      <c r="X7" s="43"/>
    </row>
    <row r="8" spans="1:24" ht="249.6" customHeight="1" x14ac:dyDescent="0.3">
      <c r="A8" s="26" t="s">
        <v>69</v>
      </c>
      <c r="B8" s="27" t="s">
        <v>21</v>
      </c>
      <c r="C8" s="28" t="s">
        <v>70</v>
      </c>
      <c r="D8" s="28" t="s">
        <v>71</v>
      </c>
      <c r="E8" s="28" t="s">
        <v>72</v>
      </c>
      <c r="F8" s="28" t="s">
        <v>48</v>
      </c>
      <c r="G8" s="28" t="s">
        <v>26</v>
      </c>
      <c r="H8" s="28" t="s">
        <v>73</v>
      </c>
      <c r="I8" s="44" t="s">
        <v>33</v>
      </c>
      <c r="J8" s="44">
        <f>VLOOKUP(I8,[1]Structure!$A$48:$B$52,2,FALSE)</f>
        <v>2</v>
      </c>
      <c r="K8" s="45" t="s">
        <v>29</v>
      </c>
      <c r="L8" s="30">
        <f>VLOOKUP(K8,[1]Structure!$D$48:$E$52,2,FALSE)</f>
        <v>3</v>
      </c>
      <c r="M8" s="29">
        <f t="shared" si="0"/>
        <v>6</v>
      </c>
      <c r="N8" s="29" t="str">
        <f t="shared" si="1"/>
        <v>Medium</v>
      </c>
      <c r="O8" s="31"/>
      <c r="P8" s="32" t="s">
        <v>74</v>
      </c>
      <c r="Q8" s="33" t="s">
        <v>75</v>
      </c>
      <c r="R8" s="47" t="s">
        <v>33</v>
      </c>
      <c r="S8" s="38">
        <f>VLOOKUP(R8,[1]Structure!$A$48:$B$52,2,FALSE)</f>
        <v>2</v>
      </c>
      <c r="T8" s="37" t="s">
        <v>61</v>
      </c>
      <c r="U8" s="37">
        <f>VLOOKUP(T8,[1]Structure!$D$48:$E$52,2,FALSE)</f>
        <v>2</v>
      </c>
      <c r="V8" s="38">
        <f t="shared" si="2"/>
        <v>4</v>
      </c>
      <c r="W8" s="39" t="str">
        <f t="shared" si="3"/>
        <v>Low</v>
      </c>
      <c r="X8" s="43"/>
    </row>
    <row r="9" spans="1:24" s="48" customFormat="1" ht="171.6" x14ac:dyDescent="0.3">
      <c r="A9" s="26" t="s">
        <v>76</v>
      </c>
      <c r="B9" s="27" t="s">
        <v>21</v>
      </c>
      <c r="C9" s="17" t="s">
        <v>77</v>
      </c>
      <c r="D9" s="28" t="s">
        <v>78</v>
      </c>
      <c r="E9" s="17" t="s">
        <v>79</v>
      </c>
      <c r="F9" s="17" t="s">
        <v>48</v>
      </c>
      <c r="G9" s="28" t="s">
        <v>26</v>
      </c>
      <c r="H9" s="17" t="s">
        <v>80</v>
      </c>
      <c r="I9" s="44" t="s">
        <v>81</v>
      </c>
      <c r="J9" s="44">
        <f>VLOOKUP(I9,[1]Structure!$A$48:$B$52,2,FALSE)</f>
        <v>1</v>
      </c>
      <c r="K9" s="45" t="s">
        <v>29</v>
      </c>
      <c r="L9" s="30">
        <f>VLOOKUP(K9,[1]Structure!$D$48:$E$52,2,FALSE)</f>
        <v>3</v>
      </c>
      <c r="M9" s="29">
        <f t="shared" si="0"/>
        <v>3</v>
      </c>
      <c r="N9" s="29" t="str">
        <f t="shared" si="1"/>
        <v>Low</v>
      </c>
      <c r="O9" s="31"/>
      <c r="P9" s="32" t="s">
        <v>82</v>
      </c>
      <c r="Q9" s="22" t="s">
        <v>83</v>
      </c>
      <c r="R9" s="47" t="s">
        <v>81</v>
      </c>
      <c r="S9" s="38">
        <f>VLOOKUP(R9,[1]Structure!$A$48:$B$52,2,FALSE)</f>
        <v>1</v>
      </c>
      <c r="T9" s="37" t="s">
        <v>61</v>
      </c>
      <c r="U9" s="37">
        <f>VLOOKUP(T9,[1]Structure!$D$48:$E$52,2,FALSE)</f>
        <v>2</v>
      </c>
      <c r="V9" s="38">
        <f t="shared" si="2"/>
        <v>2</v>
      </c>
      <c r="W9" s="39" t="str">
        <f t="shared" si="3"/>
        <v>Low</v>
      </c>
      <c r="X9" s="40">
        <v>45839</v>
      </c>
    </row>
    <row r="10" spans="1:24" ht="171.6" x14ac:dyDescent="0.3">
      <c r="A10" s="26" t="s">
        <v>84</v>
      </c>
      <c r="B10" s="27" t="s">
        <v>21</v>
      </c>
      <c r="C10" s="28" t="s">
        <v>85</v>
      </c>
      <c r="D10" s="28" t="s">
        <v>86</v>
      </c>
      <c r="E10" s="28" t="s">
        <v>87</v>
      </c>
      <c r="F10" s="28" t="s">
        <v>48</v>
      </c>
      <c r="G10" s="49" t="s">
        <v>26</v>
      </c>
      <c r="H10" s="28" t="s">
        <v>88</v>
      </c>
      <c r="I10" s="29" t="s">
        <v>89</v>
      </c>
      <c r="J10" s="29">
        <f>VLOOKUP(I10,[1]Structure!$A$48:$B$52,2,FALSE)</f>
        <v>4</v>
      </c>
      <c r="K10" s="30" t="s">
        <v>29</v>
      </c>
      <c r="L10" s="30">
        <f>VLOOKUP(K10,[1]Structure!$D$48:$E$52,2,FALSE)</f>
        <v>3</v>
      </c>
      <c r="M10" s="29">
        <f t="shared" si="0"/>
        <v>12</v>
      </c>
      <c r="N10" s="29" t="str">
        <f t="shared" si="1"/>
        <v>Medium</v>
      </c>
      <c r="O10" s="31"/>
      <c r="P10" s="32" t="s">
        <v>90</v>
      </c>
      <c r="Q10" s="33" t="s">
        <v>91</v>
      </c>
      <c r="R10" s="50" t="s">
        <v>33</v>
      </c>
      <c r="S10" s="35">
        <f>VLOOKUP(R10,[1]Structure!$A$48:$B$52,2,FALSE)</f>
        <v>2</v>
      </c>
      <c r="T10" s="42" t="s">
        <v>29</v>
      </c>
      <c r="U10" s="37">
        <f>VLOOKUP(T10,[1]Structure!$D$48:$E$52,2,FALSE)</f>
        <v>3</v>
      </c>
      <c r="V10" s="38">
        <f t="shared" si="2"/>
        <v>6</v>
      </c>
      <c r="W10" s="39" t="str">
        <f t="shared" si="3"/>
        <v>Medium</v>
      </c>
      <c r="X10" s="43"/>
    </row>
    <row r="11" spans="1:24" ht="171.6" x14ac:dyDescent="0.3">
      <c r="A11" s="26" t="s">
        <v>92</v>
      </c>
      <c r="B11" s="27" t="s">
        <v>21</v>
      </c>
      <c r="C11" s="28" t="s">
        <v>93</v>
      </c>
      <c r="D11" s="28" t="s">
        <v>94</v>
      </c>
      <c r="E11" s="28" t="s">
        <v>95</v>
      </c>
      <c r="F11" s="28" t="s">
        <v>48</v>
      </c>
      <c r="G11" s="28" t="s">
        <v>26</v>
      </c>
      <c r="H11" s="28" t="s">
        <v>96</v>
      </c>
      <c r="I11" s="44" t="s">
        <v>33</v>
      </c>
      <c r="J11" s="44">
        <f>VLOOKUP(I11,[1]Structure!$A$48:$B$52,2,FALSE)</f>
        <v>2</v>
      </c>
      <c r="K11" s="45" t="s">
        <v>61</v>
      </c>
      <c r="L11" s="30">
        <f>VLOOKUP(K11,[1]Structure!$D$48:$E$52,2,FALSE)</f>
        <v>2</v>
      </c>
      <c r="M11" s="29">
        <f t="shared" si="0"/>
        <v>4</v>
      </c>
      <c r="N11" s="29" t="str">
        <f t="shared" si="1"/>
        <v>Low</v>
      </c>
      <c r="O11" s="31"/>
      <c r="P11" s="32" t="s">
        <v>97</v>
      </c>
      <c r="Q11" s="33" t="s">
        <v>98</v>
      </c>
      <c r="R11" s="47" t="s">
        <v>33</v>
      </c>
      <c r="S11" s="38">
        <f>VLOOKUP(R11,[1]Structure!$A$48:$B$52,2,FALSE)</f>
        <v>2</v>
      </c>
      <c r="T11" s="37" t="s">
        <v>61</v>
      </c>
      <c r="U11" s="37">
        <f>VLOOKUP(T11,[1]Structure!$D$48:$E$52,2,FALSE)</f>
        <v>2</v>
      </c>
      <c r="V11" s="38">
        <f t="shared" si="2"/>
        <v>4</v>
      </c>
      <c r="W11" s="39" t="str">
        <f t="shared" si="3"/>
        <v>Low</v>
      </c>
      <c r="X11" s="43"/>
    </row>
    <row r="12" spans="1:24" ht="187.35" customHeight="1" x14ac:dyDescent="0.3">
      <c r="A12" s="26" t="s">
        <v>20</v>
      </c>
      <c r="B12" s="27" t="s">
        <v>21</v>
      </c>
      <c r="C12" s="28" t="s">
        <v>99</v>
      </c>
      <c r="D12" s="28" t="s">
        <v>100</v>
      </c>
      <c r="E12" s="28" t="s">
        <v>101</v>
      </c>
      <c r="F12" s="28" t="s">
        <v>25</v>
      </c>
      <c r="G12" s="28" t="s">
        <v>26</v>
      </c>
      <c r="H12" s="28" t="s">
        <v>102</v>
      </c>
      <c r="I12" s="29" t="s">
        <v>28</v>
      </c>
      <c r="J12" s="29">
        <f>VLOOKUP(I12,[1]Structure!$A$48:$B$52,2,FALSE)</f>
        <v>3</v>
      </c>
      <c r="K12" s="30" t="s">
        <v>29</v>
      </c>
      <c r="L12" s="30">
        <f>VLOOKUP(K12,[1]Structure!$D$48:$E$52,2,FALSE)</f>
        <v>3</v>
      </c>
      <c r="M12" s="29">
        <f t="shared" si="0"/>
        <v>9</v>
      </c>
      <c r="N12" s="29" t="str">
        <f t="shared" si="1"/>
        <v>Medium</v>
      </c>
      <c r="O12" s="31" t="s">
        <v>30</v>
      </c>
      <c r="P12" s="33" t="s">
        <v>103</v>
      </c>
      <c r="Q12" s="33" t="s">
        <v>104</v>
      </c>
      <c r="R12" s="42" t="s">
        <v>33</v>
      </c>
      <c r="S12" s="35">
        <f>VLOOKUP(R12,[1]Structure!$A$48:$B$52,2,FALSE)</f>
        <v>2</v>
      </c>
      <c r="T12" s="42" t="s">
        <v>29</v>
      </c>
      <c r="U12" s="37">
        <f>VLOOKUP(T12,[1]Structure!$D$48:$E$52,2,FALSE)</f>
        <v>3</v>
      </c>
      <c r="V12" s="38">
        <f t="shared" si="2"/>
        <v>6</v>
      </c>
      <c r="W12" s="39" t="str">
        <f t="shared" si="3"/>
        <v>Medium</v>
      </c>
      <c r="X12" s="43"/>
    </row>
    <row r="13" spans="1:24" s="48" customFormat="1" ht="202.8" x14ac:dyDescent="0.3">
      <c r="A13" s="26" t="s">
        <v>105</v>
      </c>
      <c r="B13" s="51" t="s">
        <v>21</v>
      </c>
      <c r="C13" s="52" t="s">
        <v>106</v>
      </c>
      <c r="D13" s="52" t="s">
        <v>107</v>
      </c>
      <c r="E13" s="52" t="s">
        <v>108</v>
      </c>
      <c r="F13" s="52" t="s">
        <v>25</v>
      </c>
      <c r="G13" s="52" t="s">
        <v>26</v>
      </c>
      <c r="H13" s="52" t="s">
        <v>109</v>
      </c>
      <c r="I13" s="44" t="s">
        <v>33</v>
      </c>
      <c r="J13" s="44">
        <f>VLOOKUP(I13,[1]Structure!$A$48:$B$52,2,FALSE)</f>
        <v>2</v>
      </c>
      <c r="K13" s="45" t="s">
        <v>41</v>
      </c>
      <c r="L13" s="30">
        <f>VLOOKUP(K13,[1]Structure!$D$48:$E$52,2,FALSE)</f>
        <v>4</v>
      </c>
      <c r="M13" s="29">
        <f t="shared" si="0"/>
        <v>8</v>
      </c>
      <c r="N13" s="29" t="str">
        <f t="shared" si="1"/>
        <v>Medium</v>
      </c>
      <c r="O13" s="53"/>
      <c r="P13" s="54" t="s">
        <v>110</v>
      </c>
      <c r="Q13" s="55" t="s">
        <v>111</v>
      </c>
      <c r="R13" s="56" t="s">
        <v>33</v>
      </c>
      <c r="S13" s="44">
        <f>VLOOKUP(R13,[1]Structure!$A$48:$B$52,2,FALSE)</f>
        <v>2</v>
      </c>
      <c r="T13" s="45" t="s">
        <v>61</v>
      </c>
      <c r="U13" s="45">
        <f>VLOOKUP(T13,[1]Structure!$D$48:$E$52,2,FALSE)</f>
        <v>2</v>
      </c>
      <c r="V13" s="44">
        <f t="shared" si="2"/>
        <v>4</v>
      </c>
      <c r="W13" s="57" t="str">
        <f t="shared" si="3"/>
        <v>Low</v>
      </c>
      <c r="X13" s="43"/>
    </row>
    <row r="14" spans="1:24" s="48" customFormat="1" ht="249.6" customHeight="1" x14ac:dyDescent="0.3">
      <c r="A14" s="26" t="s">
        <v>112</v>
      </c>
      <c r="B14" s="27" t="s">
        <v>21</v>
      </c>
      <c r="C14" s="28" t="s">
        <v>113</v>
      </c>
      <c r="D14" s="28" t="s">
        <v>114</v>
      </c>
      <c r="E14" s="28" t="s">
        <v>115</v>
      </c>
      <c r="F14" s="28" t="s">
        <v>25</v>
      </c>
      <c r="G14" s="28" t="s">
        <v>39</v>
      </c>
      <c r="H14" s="28" t="s">
        <v>116</v>
      </c>
      <c r="I14" s="29" t="s">
        <v>28</v>
      </c>
      <c r="J14" s="29">
        <f>VLOOKUP(I14,[1]Structure!$A$48:$B$52,2,FALSE)</f>
        <v>3</v>
      </c>
      <c r="K14" s="30" t="s">
        <v>61</v>
      </c>
      <c r="L14" s="30">
        <f>VLOOKUP(K14,[1]Structure!$D$48:$E$52,2,FALSE)</f>
        <v>2</v>
      </c>
      <c r="M14" s="29">
        <f t="shared" si="0"/>
        <v>6</v>
      </c>
      <c r="N14" s="29" t="str">
        <f t="shared" si="1"/>
        <v>Medium</v>
      </c>
      <c r="O14" s="31"/>
      <c r="P14" s="32" t="s">
        <v>117</v>
      </c>
      <c r="Q14" s="33" t="s">
        <v>118</v>
      </c>
      <c r="R14" s="50" t="s">
        <v>28</v>
      </c>
      <c r="S14" s="35">
        <f>VLOOKUP(R14,[1]Structure!$A$48:$B$52,2,FALSE)</f>
        <v>3</v>
      </c>
      <c r="T14" s="42" t="s">
        <v>61</v>
      </c>
      <c r="U14" s="37">
        <f>VLOOKUP(T14,[1]Structure!$D$48:$E$52,2,FALSE)</f>
        <v>2</v>
      </c>
      <c r="V14" s="38">
        <f t="shared" si="2"/>
        <v>6</v>
      </c>
      <c r="W14" s="39" t="str">
        <f t="shared" si="3"/>
        <v>Medium</v>
      </c>
      <c r="X14" s="43"/>
    </row>
    <row r="15" spans="1:24" ht="93.6" x14ac:dyDescent="0.3">
      <c r="A15" s="26" t="s">
        <v>119</v>
      </c>
      <c r="B15" s="27" t="s">
        <v>21</v>
      </c>
      <c r="C15" s="28" t="s">
        <v>120</v>
      </c>
      <c r="D15" s="28" t="s">
        <v>121</v>
      </c>
      <c r="E15" s="28" t="s">
        <v>122</v>
      </c>
      <c r="F15" s="28" t="s">
        <v>25</v>
      </c>
      <c r="G15" s="28" t="s">
        <v>26</v>
      </c>
      <c r="H15" s="28" t="s">
        <v>123</v>
      </c>
      <c r="I15" s="44" t="s">
        <v>81</v>
      </c>
      <c r="J15" s="44">
        <f>VLOOKUP(I15,[1]Structure!$A$48:$B$52,2,FALSE)</f>
        <v>1</v>
      </c>
      <c r="K15" s="45" t="s">
        <v>61</v>
      </c>
      <c r="L15" s="30">
        <f>VLOOKUP(K15,[1]Structure!$D$48:$E$52,2,FALSE)</f>
        <v>2</v>
      </c>
      <c r="M15" s="29">
        <f t="shared" si="0"/>
        <v>2</v>
      </c>
      <c r="N15" s="29" t="str">
        <f t="shared" si="1"/>
        <v>Low</v>
      </c>
      <c r="O15" s="31" t="s">
        <v>124</v>
      </c>
      <c r="P15" s="32" t="s">
        <v>125</v>
      </c>
      <c r="Q15" s="33" t="s">
        <v>126</v>
      </c>
      <c r="R15" s="37" t="s">
        <v>81</v>
      </c>
      <c r="S15" s="38">
        <f>VLOOKUP(R15,[1]Structure!$A$48:$B$52,2,FALSE)</f>
        <v>1</v>
      </c>
      <c r="T15" s="37" t="s">
        <v>61</v>
      </c>
      <c r="U15" s="37">
        <f>VLOOKUP(T15,[1]Structure!$D$48:$E$52,2,FALSE)</f>
        <v>2</v>
      </c>
      <c r="V15" s="38">
        <f t="shared" si="2"/>
        <v>2</v>
      </c>
      <c r="W15" s="39" t="str">
        <f t="shared" si="3"/>
        <v>Low</v>
      </c>
      <c r="X15" s="43"/>
    </row>
    <row r="16" spans="1:24" ht="187.2" x14ac:dyDescent="0.3">
      <c r="A16" s="26" t="s">
        <v>127</v>
      </c>
      <c r="B16" s="27" t="s">
        <v>128</v>
      </c>
      <c r="C16" s="28" t="s">
        <v>129</v>
      </c>
      <c r="D16" s="28" t="s">
        <v>130</v>
      </c>
      <c r="E16" s="28" t="s">
        <v>131</v>
      </c>
      <c r="F16" s="17" t="s">
        <v>132</v>
      </c>
      <c r="G16" s="46" t="s">
        <v>26</v>
      </c>
      <c r="H16" s="28" t="s">
        <v>133</v>
      </c>
      <c r="I16" s="44" t="s">
        <v>33</v>
      </c>
      <c r="J16" s="44">
        <f>VLOOKUP(I16,[1]Structure!$A$48:$B$52,2,FALSE)</f>
        <v>2</v>
      </c>
      <c r="K16" s="45" t="s">
        <v>29</v>
      </c>
      <c r="L16" s="30">
        <f>VLOOKUP(K16,[1]Structure!$D$48:$E$52,2,FALSE)</f>
        <v>3</v>
      </c>
      <c r="M16" s="29">
        <f t="shared" si="0"/>
        <v>6</v>
      </c>
      <c r="N16" s="29" t="str">
        <f t="shared" si="1"/>
        <v>Medium</v>
      </c>
      <c r="O16" s="31" t="s">
        <v>58</v>
      </c>
      <c r="P16" s="32" t="s">
        <v>134</v>
      </c>
      <c r="Q16" s="33" t="s">
        <v>135</v>
      </c>
      <c r="R16" s="37" t="s">
        <v>81</v>
      </c>
      <c r="S16" s="38">
        <f>VLOOKUP(R16,[1]Structure!$A$48:$B$52,2,FALSE)</f>
        <v>1</v>
      </c>
      <c r="T16" s="37" t="s">
        <v>29</v>
      </c>
      <c r="U16" s="37">
        <f>VLOOKUP(T16,[1]Structure!$D$48:$E$52,2,FALSE)</f>
        <v>3</v>
      </c>
      <c r="V16" s="38">
        <f t="shared" si="2"/>
        <v>3</v>
      </c>
      <c r="W16" s="39" t="str">
        <f t="shared" si="3"/>
        <v>Low</v>
      </c>
      <c r="X16" s="43"/>
    </row>
    <row r="17" spans="1:24" s="48" customFormat="1" ht="140.4" customHeight="1" x14ac:dyDescent="0.3">
      <c r="A17" s="26" t="s">
        <v>136</v>
      </c>
      <c r="B17" s="27" t="s">
        <v>21</v>
      </c>
      <c r="C17" s="28" t="s">
        <v>137</v>
      </c>
      <c r="D17" s="28" t="s">
        <v>138</v>
      </c>
      <c r="E17" s="28" t="s">
        <v>139</v>
      </c>
      <c r="F17" s="28" t="s">
        <v>132</v>
      </c>
      <c r="G17" s="28" t="s">
        <v>140</v>
      </c>
      <c r="H17" s="28" t="s">
        <v>141</v>
      </c>
      <c r="I17" s="44" t="s">
        <v>33</v>
      </c>
      <c r="J17" s="44">
        <f>VLOOKUP(I17,[1]Structure!$A$48:$B$52,2,FALSE)</f>
        <v>2</v>
      </c>
      <c r="K17" s="45" t="s">
        <v>29</v>
      </c>
      <c r="L17" s="30">
        <f>VLOOKUP(K17,[1]Structure!$D$48:$E$52,2,FALSE)</f>
        <v>3</v>
      </c>
      <c r="M17" s="29">
        <f t="shared" si="0"/>
        <v>6</v>
      </c>
      <c r="N17" s="29" t="str">
        <f t="shared" si="1"/>
        <v>Medium</v>
      </c>
      <c r="O17" s="31" t="s">
        <v>58</v>
      </c>
      <c r="P17" s="32" t="s">
        <v>142</v>
      </c>
      <c r="Q17" s="33" t="s">
        <v>143</v>
      </c>
      <c r="R17" s="37" t="s">
        <v>81</v>
      </c>
      <c r="S17" s="38">
        <f>VLOOKUP(R17,[1]Structure!$A$48:$B$52,2,FALSE)</f>
        <v>1</v>
      </c>
      <c r="T17" s="37" t="s">
        <v>29</v>
      </c>
      <c r="U17" s="37">
        <f>VLOOKUP(T17,[1]Structure!$D$48:$E$52,2,FALSE)</f>
        <v>3</v>
      </c>
      <c r="V17" s="38">
        <f t="shared" si="2"/>
        <v>3</v>
      </c>
      <c r="W17" s="39" t="str">
        <f t="shared" si="3"/>
        <v>Low</v>
      </c>
      <c r="X17" s="43"/>
    </row>
    <row r="18" spans="1:24" ht="187.2" x14ac:dyDescent="0.3">
      <c r="A18" s="26" t="s">
        <v>144</v>
      </c>
      <c r="B18" s="27" t="s">
        <v>145</v>
      </c>
      <c r="C18" s="28" t="s">
        <v>146</v>
      </c>
      <c r="D18" s="28" t="s">
        <v>147</v>
      </c>
      <c r="E18" s="28" t="s">
        <v>148</v>
      </c>
      <c r="F18" s="28" t="s">
        <v>132</v>
      </c>
      <c r="G18" s="28" t="s">
        <v>140</v>
      </c>
      <c r="H18" s="28" t="s">
        <v>149</v>
      </c>
      <c r="I18" s="29" t="s">
        <v>28</v>
      </c>
      <c r="J18" s="29">
        <f>VLOOKUP(I18,[1]Structure!$A$48:$B$52,2,FALSE)</f>
        <v>3</v>
      </c>
      <c r="K18" s="30" t="s">
        <v>41</v>
      </c>
      <c r="L18" s="30">
        <f>VLOOKUP(K18,[1]Structure!$D$48:$E$52,2,FALSE)</f>
        <v>4</v>
      </c>
      <c r="M18" s="29">
        <f t="shared" si="0"/>
        <v>12</v>
      </c>
      <c r="N18" s="29" t="str">
        <f t="shared" si="1"/>
        <v>Medium</v>
      </c>
      <c r="O18" s="31" t="s">
        <v>150</v>
      </c>
      <c r="P18" s="32" t="s">
        <v>151</v>
      </c>
      <c r="Q18" s="33" t="s">
        <v>152</v>
      </c>
      <c r="R18" s="42" t="s">
        <v>33</v>
      </c>
      <c r="S18" s="35">
        <f>VLOOKUP(R18,[1]Structure!$A$48:$B$52,2,FALSE)</f>
        <v>2</v>
      </c>
      <c r="T18" s="42" t="s">
        <v>29</v>
      </c>
      <c r="U18" s="37">
        <f>VLOOKUP(T18,[1]Structure!$D$48:$E$52,2,FALSE)</f>
        <v>3</v>
      </c>
      <c r="V18" s="38">
        <f t="shared" si="2"/>
        <v>6</v>
      </c>
      <c r="W18" s="39" t="str">
        <f t="shared" si="3"/>
        <v>Medium</v>
      </c>
      <c r="X18" s="43"/>
    </row>
    <row r="19" spans="1:24" s="48" customFormat="1" ht="187.2" x14ac:dyDescent="0.3">
      <c r="A19" s="26" t="s">
        <v>153</v>
      </c>
      <c r="B19" s="27" t="s">
        <v>154</v>
      </c>
      <c r="C19" s="28" t="s">
        <v>155</v>
      </c>
      <c r="D19" s="28" t="s">
        <v>156</v>
      </c>
      <c r="E19" s="28" t="s">
        <v>131</v>
      </c>
      <c r="F19" s="28" t="s">
        <v>25</v>
      </c>
      <c r="G19" s="28" t="s">
        <v>140</v>
      </c>
      <c r="H19" s="28" t="s">
        <v>157</v>
      </c>
      <c r="I19" s="44" t="s">
        <v>33</v>
      </c>
      <c r="J19" s="44">
        <f>VLOOKUP(I19,[1]Structure!$A$48:$B$52,2,FALSE)</f>
        <v>2</v>
      </c>
      <c r="K19" s="45" t="s">
        <v>29</v>
      </c>
      <c r="L19" s="30">
        <f>VLOOKUP(K19,[1]Structure!$D$48:$E$52,2,FALSE)</f>
        <v>3</v>
      </c>
      <c r="M19" s="29">
        <f t="shared" si="0"/>
        <v>6</v>
      </c>
      <c r="N19" s="29" t="str">
        <f t="shared" si="1"/>
        <v>Medium</v>
      </c>
      <c r="O19" s="31" t="s">
        <v>58</v>
      </c>
      <c r="P19" s="32" t="s">
        <v>158</v>
      </c>
      <c r="Q19" s="33" t="s">
        <v>159</v>
      </c>
      <c r="R19" s="37" t="s">
        <v>33</v>
      </c>
      <c r="S19" s="38">
        <f>VLOOKUP(R19,[1]Structure!$A$48:$B$52,2,FALSE)</f>
        <v>2</v>
      </c>
      <c r="T19" s="37" t="s">
        <v>61</v>
      </c>
      <c r="U19" s="37">
        <f>VLOOKUP(T19,[1]Structure!$D$48:$E$52,2,FALSE)</f>
        <v>2</v>
      </c>
      <c r="V19" s="38">
        <f t="shared" si="2"/>
        <v>4</v>
      </c>
      <c r="W19" s="39" t="str">
        <f t="shared" si="3"/>
        <v>Low</v>
      </c>
      <c r="X19" s="43"/>
    </row>
    <row r="20" spans="1:24" s="48" customFormat="1" ht="124.8" x14ac:dyDescent="0.3">
      <c r="A20" s="26" t="s">
        <v>160</v>
      </c>
      <c r="B20" s="27" t="s">
        <v>128</v>
      </c>
      <c r="C20" s="28" t="s">
        <v>161</v>
      </c>
      <c r="D20" s="28" t="s">
        <v>162</v>
      </c>
      <c r="E20" s="28" t="s">
        <v>131</v>
      </c>
      <c r="F20" s="28" t="s">
        <v>132</v>
      </c>
      <c r="G20" s="28" t="s">
        <v>140</v>
      </c>
      <c r="H20" s="28" t="s">
        <v>163</v>
      </c>
      <c r="I20" s="29" t="s">
        <v>28</v>
      </c>
      <c r="J20" s="29">
        <f>VLOOKUP(I20,[1]Structure!$A$48:$B$52,2,FALSE)</f>
        <v>3</v>
      </c>
      <c r="K20" s="30" t="s">
        <v>41</v>
      </c>
      <c r="L20" s="30">
        <f>VLOOKUP(K20,[1]Structure!$D$48:$E$52,2,FALSE)</f>
        <v>4</v>
      </c>
      <c r="M20" s="29">
        <f t="shared" si="0"/>
        <v>12</v>
      </c>
      <c r="N20" s="29" t="str">
        <f t="shared" si="1"/>
        <v>Medium</v>
      </c>
      <c r="O20" s="31" t="s">
        <v>58</v>
      </c>
      <c r="P20" s="32" t="s">
        <v>164</v>
      </c>
      <c r="Q20" s="33" t="s">
        <v>165</v>
      </c>
      <c r="R20" s="42" t="s">
        <v>33</v>
      </c>
      <c r="S20" s="35">
        <f>VLOOKUP(R20,[1]Structure!$A$48:$B$52,2,FALSE)</f>
        <v>2</v>
      </c>
      <c r="T20" s="42" t="s">
        <v>29</v>
      </c>
      <c r="U20" s="37">
        <f>VLOOKUP(T20,[1]Structure!$D$48:$E$52,2,FALSE)</f>
        <v>3</v>
      </c>
      <c r="V20" s="38">
        <f t="shared" si="2"/>
        <v>6</v>
      </c>
      <c r="W20" s="39" t="str">
        <f t="shared" si="3"/>
        <v>Medium</v>
      </c>
      <c r="X20" s="40">
        <v>45962</v>
      </c>
    </row>
    <row r="21" spans="1:24" s="48" customFormat="1" ht="187.2" x14ac:dyDescent="0.3">
      <c r="A21" s="26" t="s">
        <v>166</v>
      </c>
      <c r="B21" s="27" t="s">
        <v>154</v>
      </c>
      <c r="C21" s="28" t="s">
        <v>167</v>
      </c>
      <c r="D21" s="28" t="s">
        <v>23</v>
      </c>
      <c r="E21" s="28" t="s">
        <v>168</v>
      </c>
      <c r="F21" s="28" t="s">
        <v>132</v>
      </c>
      <c r="G21" s="28" t="s">
        <v>140</v>
      </c>
      <c r="H21" s="28" t="s">
        <v>169</v>
      </c>
      <c r="I21" s="44" t="s">
        <v>33</v>
      </c>
      <c r="J21" s="44">
        <f>VLOOKUP(I21,[1]Structure!$A$48:$B$52,2,FALSE)</f>
        <v>2</v>
      </c>
      <c r="K21" s="45" t="s">
        <v>29</v>
      </c>
      <c r="L21" s="30">
        <f>VLOOKUP(K21,[1]Structure!$D$48:$E$52,2,FALSE)</f>
        <v>3</v>
      </c>
      <c r="M21" s="29">
        <f t="shared" si="0"/>
        <v>6</v>
      </c>
      <c r="N21" s="29" t="str">
        <f t="shared" si="1"/>
        <v>Medium</v>
      </c>
      <c r="O21" s="31" t="s">
        <v>30</v>
      </c>
      <c r="P21" s="32" t="s">
        <v>170</v>
      </c>
      <c r="Q21" s="33" t="s">
        <v>171</v>
      </c>
      <c r="R21" s="37" t="s">
        <v>33</v>
      </c>
      <c r="S21" s="38">
        <f>VLOOKUP(R21,[1]Structure!$A$48:$B$52,2,FALSE)</f>
        <v>2</v>
      </c>
      <c r="T21" s="37" t="s">
        <v>61</v>
      </c>
      <c r="U21" s="37">
        <f>VLOOKUP(T21,[1]Structure!$D$48:$E$52,2,FALSE)</f>
        <v>2</v>
      </c>
      <c r="V21" s="38">
        <f t="shared" si="2"/>
        <v>4</v>
      </c>
      <c r="W21" s="39" t="str">
        <f t="shared" si="3"/>
        <v>Low</v>
      </c>
      <c r="X21" s="43"/>
    </row>
    <row r="22" spans="1:24" s="48" customFormat="1" ht="327.60000000000002" x14ac:dyDescent="0.3">
      <c r="A22" s="26" t="s">
        <v>172</v>
      </c>
      <c r="B22" s="27" t="s">
        <v>21</v>
      </c>
      <c r="C22" s="28" t="s">
        <v>173</v>
      </c>
      <c r="D22" s="28" t="s">
        <v>174</v>
      </c>
      <c r="E22" s="58" t="s">
        <v>175</v>
      </c>
      <c r="F22" s="58" t="s">
        <v>132</v>
      </c>
      <c r="G22" s="28" t="s">
        <v>39</v>
      </c>
      <c r="H22" s="28" t="s">
        <v>176</v>
      </c>
      <c r="I22" s="29" t="s">
        <v>28</v>
      </c>
      <c r="J22" s="29">
        <f>VLOOKUP(I22,[1]Structure!$A$48:$B$52,2,FALSE)</f>
        <v>3</v>
      </c>
      <c r="K22" s="30" t="s">
        <v>41</v>
      </c>
      <c r="L22" s="30">
        <f>VLOOKUP(K22,[1]Structure!$D$48:$E$52,2,FALSE)</f>
        <v>4</v>
      </c>
      <c r="M22" s="29">
        <f t="shared" si="0"/>
        <v>12</v>
      </c>
      <c r="N22" s="29" t="str">
        <f t="shared" si="1"/>
        <v>Medium</v>
      </c>
      <c r="O22" s="31" t="s">
        <v>58</v>
      </c>
      <c r="P22" s="32" t="s">
        <v>177</v>
      </c>
      <c r="Q22" s="33" t="s">
        <v>178</v>
      </c>
      <c r="R22" s="42" t="s">
        <v>33</v>
      </c>
      <c r="S22" s="35">
        <f>VLOOKUP(R22,[1]Structure!$A$48:$B$52,2,FALSE)</f>
        <v>2</v>
      </c>
      <c r="T22" s="42" t="s">
        <v>61</v>
      </c>
      <c r="U22" s="37">
        <f>VLOOKUP(T22,[1]Structure!$D$48:$E$52,2,FALSE)</f>
        <v>2</v>
      </c>
      <c r="V22" s="38">
        <f t="shared" si="2"/>
        <v>4</v>
      </c>
      <c r="W22" s="39" t="str">
        <f t="shared" si="3"/>
        <v>Low</v>
      </c>
      <c r="X22" s="43"/>
    </row>
    <row r="23" spans="1:24" ht="93.6" x14ac:dyDescent="0.3">
      <c r="A23" s="26" t="s">
        <v>179</v>
      </c>
      <c r="B23" s="27" t="s">
        <v>21</v>
      </c>
      <c r="C23" s="28" t="s">
        <v>180</v>
      </c>
      <c r="D23" s="28" t="s">
        <v>181</v>
      </c>
      <c r="E23" s="28" t="s">
        <v>182</v>
      </c>
      <c r="F23" s="28" t="s">
        <v>25</v>
      </c>
      <c r="G23" s="28" t="s">
        <v>140</v>
      </c>
      <c r="H23" s="28" t="s">
        <v>183</v>
      </c>
      <c r="I23" s="44" t="s">
        <v>28</v>
      </c>
      <c r="J23" s="44">
        <f>VLOOKUP(I23,[1]Structure!$A$48:$B$52,2,FALSE)</f>
        <v>3</v>
      </c>
      <c r="K23" s="45" t="s">
        <v>29</v>
      </c>
      <c r="L23" s="30">
        <f>VLOOKUP(K23,[1]Structure!$D$48:$E$52,2,FALSE)</f>
        <v>3</v>
      </c>
      <c r="M23" s="29">
        <f t="shared" si="0"/>
        <v>9</v>
      </c>
      <c r="N23" s="29" t="str">
        <f t="shared" si="1"/>
        <v>Medium</v>
      </c>
      <c r="O23" s="31" t="s">
        <v>124</v>
      </c>
      <c r="P23" s="32" t="s">
        <v>184</v>
      </c>
      <c r="Q23" s="33" t="s">
        <v>185</v>
      </c>
      <c r="R23" s="37" t="s">
        <v>33</v>
      </c>
      <c r="S23" s="38">
        <f>VLOOKUP(R23,[1]Structure!$A$48:$B$52,2,FALSE)</f>
        <v>2</v>
      </c>
      <c r="T23" s="37" t="s">
        <v>29</v>
      </c>
      <c r="U23" s="37">
        <f>VLOOKUP(T23,[1]Structure!$D$48:$E$52,2,FALSE)</f>
        <v>3</v>
      </c>
      <c r="V23" s="38">
        <f t="shared" si="2"/>
        <v>6</v>
      </c>
      <c r="W23" s="39" t="str">
        <f t="shared" si="3"/>
        <v>Medium</v>
      </c>
      <c r="X23" s="43"/>
    </row>
    <row r="24" spans="1:24" ht="156" x14ac:dyDescent="0.3">
      <c r="A24" s="26" t="s">
        <v>186</v>
      </c>
      <c r="B24" s="27" t="s">
        <v>128</v>
      </c>
      <c r="C24" s="28" t="s">
        <v>187</v>
      </c>
      <c r="D24" s="28" t="s">
        <v>188</v>
      </c>
      <c r="E24" s="28" t="s">
        <v>189</v>
      </c>
      <c r="F24" s="28" t="s">
        <v>190</v>
      </c>
      <c r="G24" s="49" t="s">
        <v>191</v>
      </c>
      <c r="H24" s="28" t="s">
        <v>192</v>
      </c>
      <c r="I24" s="29" t="s">
        <v>28</v>
      </c>
      <c r="J24" s="29">
        <f>VLOOKUP(I24,[1]Structure!$A$48:$B$52,2,FALSE)</f>
        <v>3</v>
      </c>
      <c r="K24" s="30" t="s">
        <v>41</v>
      </c>
      <c r="L24" s="30">
        <f>VLOOKUP(K24,[1]Structure!$D$48:$E$52,2,FALSE)</f>
        <v>4</v>
      </c>
      <c r="M24" s="29">
        <f t="shared" si="0"/>
        <v>12</v>
      </c>
      <c r="N24" s="29" t="str">
        <f t="shared" si="1"/>
        <v>Medium</v>
      </c>
      <c r="O24" s="31" t="s">
        <v>193</v>
      </c>
      <c r="P24" s="32" t="s">
        <v>194</v>
      </c>
      <c r="Q24" s="33" t="s">
        <v>195</v>
      </c>
      <c r="R24" s="42" t="s">
        <v>33</v>
      </c>
      <c r="S24" s="35">
        <f>VLOOKUP(R24,[1]Structure!$A$48:$B$52,2,FALSE)</f>
        <v>2</v>
      </c>
      <c r="T24" s="42" t="s">
        <v>29</v>
      </c>
      <c r="U24" s="37">
        <f>VLOOKUP(T24,[1]Structure!$D$48:$E$52,2,FALSE)</f>
        <v>3</v>
      </c>
      <c r="V24" s="38">
        <f t="shared" si="2"/>
        <v>6</v>
      </c>
      <c r="W24" s="39" t="str">
        <f t="shared" si="3"/>
        <v>Medium</v>
      </c>
      <c r="X24" s="43"/>
    </row>
    <row r="25" spans="1:24" ht="327.60000000000002" x14ac:dyDescent="0.3">
      <c r="A25" s="26" t="s">
        <v>196</v>
      </c>
      <c r="B25" s="27" t="s">
        <v>128</v>
      </c>
      <c r="C25" s="28" t="s">
        <v>197</v>
      </c>
      <c r="D25" s="28" t="s">
        <v>198</v>
      </c>
      <c r="E25" s="28" t="s">
        <v>189</v>
      </c>
      <c r="F25" s="28" t="s">
        <v>190</v>
      </c>
      <c r="G25" s="49" t="s">
        <v>191</v>
      </c>
      <c r="H25" s="28" t="s">
        <v>199</v>
      </c>
      <c r="I25" s="29" t="s">
        <v>89</v>
      </c>
      <c r="J25" s="29">
        <f>VLOOKUP(I25,[1]Structure!$A$48:$B$52,2,FALSE)</f>
        <v>4</v>
      </c>
      <c r="K25" s="30" t="s">
        <v>41</v>
      </c>
      <c r="L25" s="30">
        <f>VLOOKUP(K25,[1]Structure!$D$48:$E$52,2,FALSE)</f>
        <v>4</v>
      </c>
      <c r="M25" s="29">
        <f t="shared" si="0"/>
        <v>16</v>
      </c>
      <c r="N25" s="29" t="str">
        <f t="shared" si="1"/>
        <v>High</v>
      </c>
      <c r="O25" s="31" t="s">
        <v>58</v>
      </c>
      <c r="P25" s="32" t="s">
        <v>200</v>
      </c>
      <c r="Q25" s="33" t="s">
        <v>201</v>
      </c>
      <c r="R25" s="42" t="s">
        <v>89</v>
      </c>
      <c r="S25" s="35">
        <f>VLOOKUP(R25,[1]Structure!$A$48:$B$52,2,FALSE)</f>
        <v>4</v>
      </c>
      <c r="T25" s="42" t="s">
        <v>29</v>
      </c>
      <c r="U25" s="37">
        <f>VLOOKUP(T25,[1]Structure!$D$48:$E$52,2,FALSE)</f>
        <v>3</v>
      </c>
      <c r="V25" s="38">
        <f t="shared" si="2"/>
        <v>12</v>
      </c>
      <c r="W25" s="39" t="str">
        <f t="shared" si="3"/>
        <v>Medium</v>
      </c>
      <c r="X25" s="40">
        <v>45962</v>
      </c>
    </row>
    <row r="26" spans="1:24" ht="187.2" x14ac:dyDescent="0.3">
      <c r="A26" s="26" t="s">
        <v>202</v>
      </c>
      <c r="B26" s="27" t="s">
        <v>128</v>
      </c>
      <c r="C26" s="28" t="s">
        <v>203</v>
      </c>
      <c r="D26" s="28" t="s">
        <v>188</v>
      </c>
      <c r="E26" s="28" t="s">
        <v>189</v>
      </c>
      <c r="F26" s="28" t="s">
        <v>190</v>
      </c>
      <c r="G26" s="49" t="s">
        <v>191</v>
      </c>
      <c r="H26" s="28" t="s">
        <v>204</v>
      </c>
      <c r="I26" s="29" t="s">
        <v>28</v>
      </c>
      <c r="J26" s="29">
        <f>VLOOKUP(I26,[1]Structure!$A$48:$B$52,2,FALSE)</f>
        <v>3</v>
      </c>
      <c r="K26" s="30" t="s">
        <v>41</v>
      </c>
      <c r="L26" s="30">
        <f>VLOOKUP(K26,[1]Structure!$D$48:$E$52,2,FALSE)</f>
        <v>4</v>
      </c>
      <c r="M26" s="29">
        <f t="shared" si="0"/>
        <v>12</v>
      </c>
      <c r="N26" s="29" t="str">
        <f t="shared" si="1"/>
        <v>Medium</v>
      </c>
      <c r="O26" s="31" t="s">
        <v>193</v>
      </c>
      <c r="P26" s="33" t="s">
        <v>205</v>
      </c>
      <c r="Q26" s="33" t="s">
        <v>206</v>
      </c>
      <c r="R26" s="42" t="s">
        <v>33</v>
      </c>
      <c r="S26" s="35">
        <f>VLOOKUP(R26,[1]Structure!$A$48:$B$52,2,FALSE)</f>
        <v>2</v>
      </c>
      <c r="T26" s="42" t="s">
        <v>41</v>
      </c>
      <c r="U26" s="37">
        <f>VLOOKUP(T26,[1]Structure!$D$48:$E$52,2,FALSE)</f>
        <v>4</v>
      </c>
      <c r="V26" s="38">
        <f t="shared" si="2"/>
        <v>8</v>
      </c>
      <c r="W26" s="39" t="str">
        <f t="shared" si="3"/>
        <v>Medium</v>
      </c>
      <c r="X26" s="43"/>
    </row>
    <row r="27" spans="1:24" s="48" customFormat="1" ht="218.4" x14ac:dyDescent="0.3">
      <c r="A27" s="26" t="s">
        <v>207</v>
      </c>
      <c r="B27" s="27" t="s">
        <v>128</v>
      </c>
      <c r="C27" s="17" t="s">
        <v>208</v>
      </c>
      <c r="D27" s="28" t="s">
        <v>209</v>
      </c>
      <c r="E27" s="17" t="s">
        <v>210</v>
      </c>
      <c r="F27" s="17" t="s">
        <v>190</v>
      </c>
      <c r="G27" s="49" t="s">
        <v>191</v>
      </c>
      <c r="H27" s="17" t="s">
        <v>211</v>
      </c>
      <c r="I27" s="44" t="s">
        <v>33</v>
      </c>
      <c r="J27" s="44">
        <f>VLOOKUP(I27,[1]Structure!$A$48:$B$52,2,FALSE)</f>
        <v>2</v>
      </c>
      <c r="K27" s="45" t="s">
        <v>212</v>
      </c>
      <c r="L27" s="30">
        <f>VLOOKUP(K27,[1]Structure!$D$48:$E$52,2,FALSE)</f>
        <v>5</v>
      </c>
      <c r="M27" s="29">
        <f t="shared" si="0"/>
        <v>10</v>
      </c>
      <c r="N27" s="29" t="str">
        <f t="shared" si="1"/>
        <v>Medium</v>
      </c>
      <c r="O27" s="31" t="s">
        <v>58</v>
      </c>
      <c r="P27" s="32" t="s">
        <v>213</v>
      </c>
      <c r="Q27" s="22" t="s">
        <v>214</v>
      </c>
      <c r="R27" s="37" t="s">
        <v>33</v>
      </c>
      <c r="S27" s="38">
        <f>VLOOKUP(R27,[1]Structure!$A$48:$B$52,2,FALSE)</f>
        <v>2</v>
      </c>
      <c r="T27" s="38" t="s">
        <v>41</v>
      </c>
      <c r="U27" s="37">
        <f>VLOOKUP(T27,[1]Structure!$D$48:$E$52,2,FALSE)</f>
        <v>4</v>
      </c>
      <c r="V27" s="38">
        <f t="shared" si="2"/>
        <v>8</v>
      </c>
      <c r="W27" s="39" t="str">
        <f t="shared" si="3"/>
        <v>Medium</v>
      </c>
      <c r="X27" s="40">
        <v>45839</v>
      </c>
    </row>
    <row r="28" spans="1:24" s="72" customFormat="1" ht="109.2" x14ac:dyDescent="0.3">
      <c r="A28" s="26" t="s">
        <v>215</v>
      </c>
      <c r="B28" s="59" t="s">
        <v>128</v>
      </c>
      <c r="C28" s="60" t="s">
        <v>216</v>
      </c>
      <c r="D28" s="60" t="s">
        <v>217</v>
      </c>
      <c r="E28" s="60" t="s">
        <v>189</v>
      </c>
      <c r="F28" s="60" t="s">
        <v>190</v>
      </c>
      <c r="G28" s="61" t="s">
        <v>191</v>
      </c>
      <c r="H28" s="62"/>
      <c r="I28" s="63" t="s">
        <v>28</v>
      </c>
      <c r="J28" s="63">
        <f>VLOOKUP(I28,[1]Structure!$A$48:$B$52,2,FALSE)</f>
        <v>3</v>
      </c>
      <c r="K28" s="64" t="s">
        <v>41</v>
      </c>
      <c r="L28" s="30">
        <f>VLOOKUP(K28,[1]Structure!$D$48:$E$52,2,FALSE)</f>
        <v>4</v>
      </c>
      <c r="M28" s="29">
        <f t="shared" si="0"/>
        <v>12</v>
      </c>
      <c r="N28" s="65" t="str">
        <f t="shared" si="1"/>
        <v>Medium</v>
      </c>
      <c r="O28" s="31" t="s">
        <v>193</v>
      </c>
      <c r="P28" s="66" t="s">
        <v>218</v>
      </c>
      <c r="Q28" s="67" t="s">
        <v>219</v>
      </c>
      <c r="R28" s="68" t="s">
        <v>28</v>
      </c>
      <c r="S28" s="69">
        <f>VLOOKUP(R28,[1]Structure!$A$48:$B$52,2,FALSE)</f>
        <v>3</v>
      </c>
      <c r="T28" s="68" t="s">
        <v>41</v>
      </c>
      <c r="U28" s="37">
        <f>VLOOKUP(T28,[1]Structure!$D$48:$E$52,2,FALSE)</f>
        <v>4</v>
      </c>
      <c r="V28" s="38">
        <f t="shared" si="2"/>
        <v>12</v>
      </c>
      <c r="W28" s="70" t="str">
        <f t="shared" si="3"/>
        <v>Medium</v>
      </c>
      <c r="X28" s="71"/>
    </row>
    <row r="29" spans="1:24" ht="156" x14ac:dyDescent="0.3">
      <c r="A29" s="26" t="s">
        <v>220</v>
      </c>
      <c r="B29" s="27" t="s">
        <v>128</v>
      </c>
      <c r="C29" s="28" t="s">
        <v>221</v>
      </c>
      <c r="D29" s="28" t="s">
        <v>222</v>
      </c>
      <c r="E29" s="28" t="s">
        <v>189</v>
      </c>
      <c r="F29" s="28" t="s">
        <v>190</v>
      </c>
      <c r="G29" s="49" t="s">
        <v>191</v>
      </c>
      <c r="H29" s="28" t="s">
        <v>223</v>
      </c>
      <c r="I29" s="29" t="s">
        <v>28</v>
      </c>
      <c r="J29" s="29">
        <f>VLOOKUP(I29,[1]Structure!$A$48:$B$52,2,FALSE)</f>
        <v>3</v>
      </c>
      <c r="K29" s="30" t="s">
        <v>212</v>
      </c>
      <c r="L29" s="30">
        <f>VLOOKUP(K29,[1]Structure!$D$48:$E$52,2,FALSE)</f>
        <v>5</v>
      </c>
      <c r="M29" s="29">
        <f t="shared" si="0"/>
        <v>15</v>
      </c>
      <c r="N29" s="29" t="str">
        <f t="shared" si="1"/>
        <v>High</v>
      </c>
      <c r="O29" s="31" t="s">
        <v>58</v>
      </c>
      <c r="P29" s="33" t="s">
        <v>224</v>
      </c>
      <c r="Q29" s="33" t="s">
        <v>225</v>
      </c>
      <c r="R29" s="42" t="s">
        <v>33</v>
      </c>
      <c r="S29" s="35">
        <f>VLOOKUP(R29,[1]Structure!$A$48:$B$52,2,FALSE)</f>
        <v>2</v>
      </c>
      <c r="T29" s="42" t="s">
        <v>41</v>
      </c>
      <c r="U29" s="37">
        <f>VLOOKUP(T29,[1]Structure!$D$48:$E$52,2,FALSE)</f>
        <v>4</v>
      </c>
      <c r="V29" s="38">
        <f t="shared" si="2"/>
        <v>8</v>
      </c>
      <c r="W29" s="39" t="str">
        <f t="shared" si="3"/>
        <v>Medium</v>
      </c>
      <c r="X29" s="40">
        <v>45962</v>
      </c>
    </row>
    <row r="30" spans="1:24" ht="395.4" customHeight="1" x14ac:dyDescent="0.3">
      <c r="A30" s="26" t="s">
        <v>226</v>
      </c>
      <c r="B30" s="27" t="s">
        <v>128</v>
      </c>
      <c r="C30" s="28" t="s">
        <v>227</v>
      </c>
      <c r="D30" s="28" t="s">
        <v>228</v>
      </c>
      <c r="E30" s="28" t="s">
        <v>189</v>
      </c>
      <c r="F30" s="28" t="s">
        <v>190</v>
      </c>
      <c r="G30" s="49" t="s">
        <v>191</v>
      </c>
      <c r="H30" s="28" t="s">
        <v>229</v>
      </c>
      <c r="I30" s="29" t="s">
        <v>28</v>
      </c>
      <c r="J30" s="29">
        <f>VLOOKUP(I30,[1]Structure!$A$48:$B$52,2,FALSE)</f>
        <v>3</v>
      </c>
      <c r="K30" s="30" t="s">
        <v>212</v>
      </c>
      <c r="L30" s="30">
        <f>VLOOKUP(K30,[1]Structure!$D$48:$E$52,2,FALSE)</f>
        <v>5</v>
      </c>
      <c r="M30" s="29">
        <f t="shared" si="0"/>
        <v>15</v>
      </c>
      <c r="N30" s="29" t="str">
        <f t="shared" si="1"/>
        <v>High</v>
      </c>
      <c r="O30" s="31" t="s">
        <v>58</v>
      </c>
      <c r="P30" s="32" t="s">
        <v>230</v>
      </c>
      <c r="Q30" s="33" t="s">
        <v>231</v>
      </c>
      <c r="R30" s="42" t="s">
        <v>28</v>
      </c>
      <c r="S30" s="35">
        <f>VLOOKUP(R30,[1]Structure!$A$48:$B$52,2,FALSE)</f>
        <v>3</v>
      </c>
      <c r="T30" s="42" t="s">
        <v>29</v>
      </c>
      <c r="U30" s="37">
        <f>VLOOKUP(T30,[1]Structure!$D$48:$E$52,2,FALSE)</f>
        <v>3</v>
      </c>
      <c r="V30" s="38">
        <f t="shared" si="2"/>
        <v>9</v>
      </c>
      <c r="W30" s="39" t="str">
        <f t="shared" si="3"/>
        <v>Medium</v>
      </c>
      <c r="X30" s="40">
        <v>45962</v>
      </c>
    </row>
    <row r="31" spans="1:24" s="48" customFormat="1" ht="202.8" x14ac:dyDescent="0.3">
      <c r="A31" s="26" t="s">
        <v>232</v>
      </c>
      <c r="B31" s="27" t="s">
        <v>154</v>
      </c>
      <c r="C31" s="28" t="s">
        <v>233</v>
      </c>
      <c r="D31" s="28" t="s">
        <v>234</v>
      </c>
      <c r="E31" s="28" t="s">
        <v>235</v>
      </c>
      <c r="F31" s="28" t="s">
        <v>25</v>
      </c>
      <c r="G31" s="28" t="s">
        <v>140</v>
      </c>
      <c r="H31" s="28" t="s">
        <v>236</v>
      </c>
      <c r="I31" s="29" t="s">
        <v>89</v>
      </c>
      <c r="J31" s="29">
        <f>VLOOKUP(I31,[1]Structure!$A$48:$B$52,2,FALSE)</f>
        <v>4</v>
      </c>
      <c r="K31" s="30" t="s">
        <v>41</v>
      </c>
      <c r="L31" s="30">
        <f>VLOOKUP(K31,[1]Structure!$D$48:$E$52,2,FALSE)</f>
        <v>4</v>
      </c>
      <c r="M31" s="29">
        <f t="shared" si="0"/>
        <v>16</v>
      </c>
      <c r="N31" s="29" t="str">
        <f t="shared" si="1"/>
        <v>High</v>
      </c>
      <c r="O31" s="31" t="s">
        <v>58</v>
      </c>
      <c r="P31" s="73" t="s">
        <v>237</v>
      </c>
      <c r="Q31" s="33" t="s">
        <v>238</v>
      </c>
      <c r="R31" s="42" t="s">
        <v>28</v>
      </c>
      <c r="S31" s="35">
        <f>VLOOKUP(R31,[1]Structure!$A$48:$B$52,2,FALSE)</f>
        <v>3</v>
      </c>
      <c r="T31" s="42" t="s">
        <v>29</v>
      </c>
      <c r="U31" s="37">
        <f>VLOOKUP(T31,[1]Structure!$D$48:$E$52,2,FALSE)</f>
        <v>3</v>
      </c>
      <c r="V31" s="38">
        <f t="shared" si="2"/>
        <v>9</v>
      </c>
      <c r="W31" s="39" t="str">
        <f t="shared" si="3"/>
        <v>Medium</v>
      </c>
      <c r="X31" s="43"/>
    </row>
    <row r="32" spans="1:24" ht="171.6" x14ac:dyDescent="0.3">
      <c r="A32" s="26" t="s">
        <v>239</v>
      </c>
      <c r="B32" s="27" t="s">
        <v>21</v>
      </c>
      <c r="C32" s="28" t="s">
        <v>240</v>
      </c>
      <c r="D32" s="28" t="s">
        <v>241</v>
      </c>
      <c r="E32" s="28" t="s">
        <v>242</v>
      </c>
      <c r="F32" s="28" t="s">
        <v>38</v>
      </c>
      <c r="G32" s="28" t="s">
        <v>26</v>
      </c>
      <c r="H32" s="28" t="s">
        <v>243</v>
      </c>
      <c r="I32" s="29" t="s">
        <v>28</v>
      </c>
      <c r="J32" s="29">
        <f>VLOOKUP(I32,[1]Structure!$A$48:$B$52,2,FALSE)</f>
        <v>3</v>
      </c>
      <c r="K32" s="30" t="s">
        <v>41</v>
      </c>
      <c r="L32" s="30">
        <f>VLOOKUP(K32,[1]Structure!$D$48:$E$52,2,FALSE)</f>
        <v>4</v>
      </c>
      <c r="M32" s="29">
        <f t="shared" si="0"/>
        <v>12</v>
      </c>
      <c r="N32" s="29" t="str">
        <f t="shared" si="1"/>
        <v>Medium</v>
      </c>
      <c r="O32" s="31" t="s">
        <v>58</v>
      </c>
      <c r="P32" s="32" t="s">
        <v>244</v>
      </c>
      <c r="Q32" s="33" t="s">
        <v>245</v>
      </c>
      <c r="R32" s="42" t="s">
        <v>28</v>
      </c>
      <c r="S32" s="35">
        <f>VLOOKUP(R32,[1]Structure!$A$48:$B$52,2,FALSE)</f>
        <v>3</v>
      </c>
      <c r="T32" s="42" t="s">
        <v>29</v>
      </c>
      <c r="U32" s="37">
        <f>VLOOKUP(T32,[1]Structure!$D$48:$E$52,2,FALSE)</f>
        <v>3</v>
      </c>
      <c r="V32" s="38">
        <f t="shared" si="2"/>
        <v>9</v>
      </c>
      <c r="W32" s="39" t="str">
        <f t="shared" si="3"/>
        <v>Medium</v>
      </c>
      <c r="X32" s="43"/>
    </row>
    <row r="33" spans="1:24" ht="171.6" customHeight="1" x14ac:dyDescent="0.3">
      <c r="A33" s="26" t="s">
        <v>246</v>
      </c>
      <c r="B33" s="27" t="s">
        <v>21</v>
      </c>
      <c r="C33" s="28" t="s">
        <v>247</v>
      </c>
      <c r="D33" s="28" t="s">
        <v>248</v>
      </c>
      <c r="E33" s="28" t="s">
        <v>249</v>
      </c>
      <c r="F33" s="28" t="s">
        <v>25</v>
      </c>
      <c r="G33" s="28" t="s">
        <v>140</v>
      </c>
      <c r="H33" s="28" t="s">
        <v>250</v>
      </c>
      <c r="I33" s="44" t="s">
        <v>33</v>
      </c>
      <c r="J33" s="44">
        <f>VLOOKUP(I33,[1]Structure!$A$48:$B$52,2,FALSE)</f>
        <v>2</v>
      </c>
      <c r="K33" s="45" t="s">
        <v>251</v>
      </c>
      <c r="L33" s="30">
        <f>VLOOKUP(K33,[1]Structure!$D$48:$E$52,2,FALSE)</f>
        <v>1</v>
      </c>
      <c r="M33" s="29">
        <f t="shared" si="0"/>
        <v>2</v>
      </c>
      <c r="N33" s="29" t="str">
        <f t="shared" si="1"/>
        <v>Low</v>
      </c>
      <c r="O33" s="31" t="s">
        <v>124</v>
      </c>
      <c r="P33" s="32" t="s">
        <v>252</v>
      </c>
      <c r="Q33" s="33" t="s">
        <v>253</v>
      </c>
      <c r="R33" s="37" t="s">
        <v>33</v>
      </c>
      <c r="S33" s="38">
        <f>VLOOKUP(R33,[1]Structure!$A$48:$B$52,2,FALSE)</f>
        <v>2</v>
      </c>
      <c r="T33" s="37" t="s">
        <v>251</v>
      </c>
      <c r="U33" s="37">
        <f>VLOOKUP(T33,[1]Structure!$D$48:$E$52,2,FALSE)</f>
        <v>1</v>
      </c>
      <c r="V33" s="38">
        <f t="shared" si="2"/>
        <v>2</v>
      </c>
      <c r="W33" s="39" t="str">
        <f t="shared" si="3"/>
        <v>Low</v>
      </c>
      <c r="X33" s="43"/>
    </row>
    <row r="34" spans="1:24" ht="224.4" customHeight="1" x14ac:dyDescent="0.3">
      <c r="A34" s="26" t="s">
        <v>254</v>
      </c>
      <c r="B34" s="27" t="s">
        <v>154</v>
      </c>
      <c r="C34" s="28" t="s">
        <v>255</v>
      </c>
      <c r="D34" s="28" t="s">
        <v>23</v>
      </c>
      <c r="E34" s="28" t="s">
        <v>256</v>
      </c>
      <c r="F34" s="28" t="s">
        <v>25</v>
      </c>
      <c r="G34" s="49" t="s">
        <v>140</v>
      </c>
      <c r="H34" s="28" t="s">
        <v>257</v>
      </c>
      <c r="I34" s="29" t="s">
        <v>89</v>
      </c>
      <c r="J34" s="29">
        <f>VLOOKUP(I34,[1]Structure!$A$48:$B$52,2,FALSE)</f>
        <v>4</v>
      </c>
      <c r="K34" s="30" t="s">
        <v>41</v>
      </c>
      <c r="L34" s="30">
        <f>VLOOKUP(K34,[1]Structure!$D$48:$E$52,2,FALSE)</f>
        <v>4</v>
      </c>
      <c r="M34" s="29">
        <f t="shared" si="0"/>
        <v>16</v>
      </c>
      <c r="N34" s="29" t="str">
        <f t="shared" si="1"/>
        <v>High</v>
      </c>
      <c r="O34" s="31" t="s">
        <v>58</v>
      </c>
      <c r="P34" s="73" t="s">
        <v>258</v>
      </c>
      <c r="Q34" s="33" t="s">
        <v>259</v>
      </c>
      <c r="R34" s="42" t="s">
        <v>89</v>
      </c>
      <c r="S34" s="35">
        <f>VLOOKUP(R34,[1]Structure!$A$48:$B$52,2,FALSE)</f>
        <v>4</v>
      </c>
      <c r="T34" s="42" t="s">
        <v>41</v>
      </c>
      <c r="U34" s="37">
        <f>VLOOKUP(T34,[1]Structure!$D$48:$E$52,2,FALSE)</f>
        <v>4</v>
      </c>
      <c r="V34" s="38">
        <f t="shared" si="2"/>
        <v>16</v>
      </c>
      <c r="W34" s="39" t="str">
        <f t="shared" si="3"/>
        <v>High</v>
      </c>
      <c r="X34" s="43"/>
    </row>
    <row r="35" spans="1:24" ht="327.60000000000002" x14ac:dyDescent="0.3">
      <c r="A35" s="26" t="s">
        <v>260</v>
      </c>
      <c r="B35" s="27" t="s">
        <v>154</v>
      </c>
      <c r="C35" s="28" t="s">
        <v>261</v>
      </c>
      <c r="D35" s="28" t="s">
        <v>262</v>
      </c>
      <c r="E35" s="28" t="s">
        <v>263</v>
      </c>
      <c r="F35" s="28" t="s">
        <v>190</v>
      </c>
      <c r="G35" s="49" t="s">
        <v>140</v>
      </c>
      <c r="H35" s="28" t="s">
        <v>264</v>
      </c>
      <c r="I35" s="29" t="s">
        <v>89</v>
      </c>
      <c r="J35" s="29">
        <f>VLOOKUP(I35,[1]Structure!$A$48:$B$52,2,FALSE)</f>
        <v>4</v>
      </c>
      <c r="K35" s="30" t="s">
        <v>29</v>
      </c>
      <c r="L35" s="30">
        <f>VLOOKUP(K35,[1]Structure!$D$48:$E$52,2,FALSE)</f>
        <v>3</v>
      </c>
      <c r="M35" s="29">
        <f t="shared" si="0"/>
        <v>12</v>
      </c>
      <c r="N35" s="29" t="str">
        <f t="shared" si="1"/>
        <v>Medium</v>
      </c>
      <c r="O35" s="31" t="s">
        <v>58</v>
      </c>
      <c r="P35" s="73" t="s">
        <v>265</v>
      </c>
      <c r="Q35" s="33" t="s">
        <v>266</v>
      </c>
      <c r="R35" s="42" t="s">
        <v>89</v>
      </c>
      <c r="S35" s="35">
        <f>VLOOKUP(R35,[1]Structure!$A$48:$B$52,2,FALSE)</f>
        <v>4</v>
      </c>
      <c r="T35" s="42" t="s">
        <v>29</v>
      </c>
      <c r="U35" s="37">
        <f>VLOOKUP(T35,[1]Structure!$D$48:$E$52,2,FALSE)</f>
        <v>3</v>
      </c>
      <c r="V35" s="38">
        <f t="shared" si="2"/>
        <v>12</v>
      </c>
      <c r="W35" s="39" t="str">
        <f t="shared" si="3"/>
        <v>Medium</v>
      </c>
      <c r="X35" s="43"/>
    </row>
    <row r="36" spans="1:24" s="48" customFormat="1" ht="367.35" customHeight="1" x14ac:dyDescent="0.3">
      <c r="A36" s="26" t="s">
        <v>267</v>
      </c>
      <c r="B36" s="27" t="s">
        <v>154</v>
      </c>
      <c r="C36" s="74" t="s">
        <v>268</v>
      </c>
      <c r="D36" s="28" t="s">
        <v>269</v>
      </c>
      <c r="E36" s="74" t="s">
        <v>270</v>
      </c>
      <c r="F36" s="74" t="s">
        <v>190</v>
      </c>
      <c r="G36" s="49" t="s">
        <v>191</v>
      </c>
      <c r="H36" s="74" t="s">
        <v>271</v>
      </c>
      <c r="I36" s="75" t="s">
        <v>89</v>
      </c>
      <c r="J36" s="51"/>
      <c r="K36" s="76" t="s">
        <v>29</v>
      </c>
      <c r="L36" s="77"/>
      <c r="M36" s="51"/>
      <c r="N36" s="75" t="s">
        <v>272</v>
      </c>
      <c r="O36" s="31"/>
      <c r="P36" s="46" t="s">
        <v>273</v>
      </c>
      <c r="Q36" s="74" t="s">
        <v>274</v>
      </c>
      <c r="R36" s="78" t="s">
        <v>28</v>
      </c>
      <c r="S36" s="27"/>
      <c r="T36" s="78" t="s">
        <v>61</v>
      </c>
      <c r="U36" s="79"/>
      <c r="V36" s="80"/>
      <c r="W36" s="81" t="str">
        <f t="shared" si="3"/>
        <v>Low</v>
      </c>
      <c r="X36" s="43"/>
    </row>
    <row r="37" spans="1:24" s="48" customFormat="1" ht="249.6" customHeight="1" x14ac:dyDescent="0.3">
      <c r="A37" s="26" t="s">
        <v>275</v>
      </c>
      <c r="B37" s="27" t="s">
        <v>276</v>
      </c>
      <c r="C37" s="28" t="s">
        <v>277</v>
      </c>
      <c r="D37" s="28" t="s">
        <v>278</v>
      </c>
      <c r="E37" s="28" t="s">
        <v>403</v>
      </c>
      <c r="F37" s="82" t="s">
        <v>132</v>
      </c>
      <c r="G37" s="49" t="s">
        <v>140</v>
      </c>
      <c r="H37" s="28" t="s">
        <v>271</v>
      </c>
      <c r="I37" s="29" t="s">
        <v>28</v>
      </c>
      <c r="J37" s="29"/>
      <c r="K37" s="30" t="s">
        <v>41</v>
      </c>
      <c r="L37" s="30"/>
      <c r="M37" s="29"/>
      <c r="N37" s="29" t="s">
        <v>41</v>
      </c>
      <c r="O37" s="31"/>
      <c r="P37" s="73" t="s">
        <v>279</v>
      </c>
      <c r="Q37" s="83" t="s">
        <v>280</v>
      </c>
      <c r="R37" s="42" t="s">
        <v>28</v>
      </c>
      <c r="S37" s="35"/>
      <c r="T37" s="42" t="s">
        <v>29</v>
      </c>
      <c r="U37" s="84"/>
      <c r="V37" s="85"/>
      <c r="W37" s="39" t="str">
        <f t="shared" si="3"/>
        <v>Low</v>
      </c>
      <c r="X37" s="43"/>
    </row>
    <row r="38" spans="1:24" s="48" customFormat="1" ht="218.4" x14ac:dyDescent="0.3">
      <c r="A38" s="26" t="s">
        <v>281</v>
      </c>
      <c r="B38" s="27" t="s">
        <v>282</v>
      </c>
      <c r="C38" s="28" t="s">
        <v>283</v>
      </c>
      <c r="D38" s="28" t="s">
        <v>284</v>
      </c>
      <c r="E38" s="28" t="s">
        <v>285</v>
      </c>
      <c r="F38" s="28" t="s">
        <v>286</v>
      </c>
      <c r="G38" s="49" t="s">
        <v>39</v>
      </c>
      <c r="H38" s="28" t="s">
        <v>287</v>
      </c>
      <c r="I38" s="29" t="s">
        <v>28</v>
      </c>
      <c r="J38" s="29">
        <f>VLOOKUP(I38,[1]Structure!$A$48:$B$52,2,FALSE)</f>
        <v>3</v>
      </c>
      <c r="K38" s="30" t="s">
        <v>41</v>
      </c>
      <c r="L38" s="30">
        <f>VLOOKUP(K38,[1]Structure!$D$48:$E$52,2,FALSE)</f>
        <v>4</v>
      </c>
      <c r="M38" s="29">
        <f>+J38*L38</f>
        <v>12</v>
      </c>
      <c r="N38" s="29" t="str">
        <f>IF(M38&gt;12,"High",IF(M38&lt;=5,"Low",IF(AND(M38&gt;=6,M38&lt;=12),"Medium")))</f>
        <v>Medium</v>
      </c>
      <c r="O38" s="31" t="s">
        <v>58</v>
      </c>
      <c r="P38" s="32" t="s">
        <v>288</v>
      </c>
      <c r="Q38" s="33" t="s">
        <v>289</v>
      </c>
      <c r="R38" s="42" t="s">
        <v>33</v>
      </c>
      <c r="S38" s="35">
        <f>VLOOKUP(R38,[1]Structure!$A$48:$B$52,2,FALSE)</f>
        <v>2</v>
      </c>
      <c r="T38" s="42" t="s">
        <v>29</v>
      </c>
      <c r="U38" s="37">
        <f>VLOOKUP(T38,[1]Structure!$D$48:$E$52,2,FALSE)</f>
        <v>3</v>
      </c>
      <c r="V38" s="38">
        <f>+S38*U38</f>
        <v>6</v>
      </c>
      <c r="W38" s="39" t="str">
        <f t="shared" si="3"/>
        <v>Medium</v>
      </c>
      <c r="X38" s="43"/>
    </row>
    <row r="39" spans="1:24" ht="140.4" x14ac:dyDescent="0.3">
      <c r="A39" s="26" t="s">
        <v>290</v>
      </c>
      <c r="B39" s="27" t="s">
        <v>282</v>
      </c>
      <c r="C39" s="28" t="s">
        <v>291</v>
      </c>
      <c r="D39" s="28" t="s">
        <v>292</v>
      </c>
      <c r="E39" s="28" t="s">
        <v>293</v>
      </c>
      <c r="F39" s="28" t="s">
        <v>190</v>
      </c>
      <c r="G39" s="46" t="s">
        <v>26</v>
      </c>
      <c r="H39" s="28" t="s">
        <v>294</v>
      </c>
      <c r="I39" s="44" t="s">
        <v>28</v>
      </c>
      <c r="J39" s="44">
        <f>VLOOKUP(I39,[1]Structure!$A$48:$B$52,2,FALSE)</f>
        <v>3</v>
      </c>
      <c r="K39" s="45" t="s">
        <v>251</v>
      </c>
      <c r="L39" s="30">
        <f>VLOOKUP(K39,[1]Structure!$D$48:$E$52,2,FALSE)</f>
        <v>1</v>
      </c>
      <c r="M39" s="29">
        <f>+J39*L39</f>
        <v>3</v>
      </c>
      <c r="N39" s="29" t="str">
        <f>IF(M39&gt;12,"High",IF(M39&lt;=5,"Low",IF(AND(M39&gt;=6,M39&lt;=12),"Medium")))</f>
        <v>Low</v>
      </c>
      <c r="O39" s="31" t="s">
        <v>58</v>
      </c>
      <c r="P39" s="32" t="s">
        <v>295</v>
      </c>
      <c r="Q39" s="33" t="s">
        <v>296</v>
      </c>
      <c r="R39" s="37" t="s">
        <v>33</v>
      </c>
      <c r="S39" s="38">
        <f>VLOOKUP(R39,[1]Structure!$A$48:$B$52,2,FALSE)</f>
        <v>2</v>
      </c>
      <c r="T39" s="37" t="s">
        <v>251</v>
      </c>
      <c r="U39" s="37">
        <f>VLOOKUP(T39,[1]Structure!$D$48:$E$52,2,FALSE)</f>
        <v>1</v>
      </c>
      <c r="V39" s="38">
        <f>+S39*U39</f>
        <v>2</v>
      </c>
      <c r="W39" s="39" t="str">
        <f t="shared" si="3"/>
        <v>Low</v>
      </c>
      <c r="X39" s="43"/>
    </row>
    <row r="40" spans="1:24" ht="174" customHeight="1" x14ac:dyDescent="0.3">
      <c r="A40" s="26" t="s">
        <v>297</v>
      </c>
      <c r="B40" s="27" t="s">
        <v>282</v>
      </c>
      <c r="C40" s="28" t="s">
        <v>298</v>
      </c>
      <c r="D40" s="28" t="s">
        <v>23</v>
      </c>
      <c r="E40" s="28" t="s">
        <v>299</v>
      </c>
      <c r="F40" s="28" t="s">
        <v>286</v>
      </c>
      <c r="G40" s="28" t="s">
        <v>39</v>
      </c>
      <c r="H40" s="28" t="s">
        <v>300</v>
      </c>
      <c r="I40" s="44" t="s">
        <v>33</v>
      </c>
      <c r="J40" s="44">
        <f>VLOOKUP(I40,[1]Structure!$A$48:$B$52,2,FALSE)</f>
        <v>2</v>
      </c>
      <c r="K40" s="45" t="s">
        <v>41</v>
      </c>
      <c r="L40" s="30">
        <f>VLOOKUP(K40,[1]Structure!$D$48:$E$52,2,FALSE)</f>
        <v>4</v>
      </c>
      <c r="M40" s="29">
        <f>+J40*L40</f>
        <v>8</v>
      </c>
      <c r="N40" s="29" t="str">
        <f>IF(M40&gt;12,"High",IF(M40&lt;=5,"Low",IF(AND(M40&gt;=6,M40&lt;=12),"Medium")))</f>
        <v>Medium</v>
      </c>
      <c r="O40" s="31" t="s">
        <v>58</v>
      </c>
      <c r="P40" s="33" t="s">
        <v>301</v>
      </c>
      <c r="Q40" s="33" t="s">
        <v>302</v>
      </c>
      <c r="R40" s="37" t="s">
        <v>81</v>
      </c>
      <c r="S40" s="38">
        <f>VLOOKUP(R40,[1]Structure!$A$48:$B$52,2,FALSE)</f>
        <v>1</v>
      </c>
      <c r="T40" s="37" t="s">
        <v>41</v>
      </c>
      <c r="U40" s="37">
        <f>VLOOKUP(T40,[1]Structure!$D$48:$E$52,2,FALSE)</f>
        <v>4</v>
      </c>
      <c r="V40" s="38">
        <f>+S40*U40</f>
        <v>4</v>
      </c>
      <c r="W40" s="39" t="str">
        <f t="shared" si="3"/>
        <v>Low</v>
      </c>
      <c r="X40" s="43"/>
    </row>
    <row r="41" spans="1:24" s="48" customFormat="1" ht="333" customHeight="1" x14ac:dyDescent="0.3">
      <c r="A41" s="26" t="s">
        <v>303</v>
      </c>
      <c r="B41" s="27" t="s">
        <v>21</v>
      </c>
      <c r="C41" s="28" t="s">
        <v>304</v>
      </c>
      <c r="D41" s="28" t="s">
        <v>305</v>
      </c>
      <c r="E41" s="28" t="s">
        <v>306</v>
      </c>
      <c r="F41" s="28" t="s">
        <v>38</v>
      </c>
      <c r="G41" s="28" t="s">
        <v>307</v>
      </c>
      <c r="H41" s="28" t="s">
        <v>308</v>
      </c>
      <c r="I41" s="44" t="s">
        <v>33</v>
      </c>
      <c r="J41" s="44">
        <f>VLOOKUP(I41,[1]Structure!$A$48:$B$52,2,FALSE)</f>
        <v>2</v>
      </c>
      <c r="K41" s="45" t="s">
        <v>29</v>
      </c>
      <c r="L41" s="30">
        <f>VLOOKUP(K41,[1]Structure!$D$48:$E$52,2,FALSE)</f>
        <v>3</v>
      </c>
      <c r="M41" s="29">
        <f>+J41*L41</f>
        <v>6</v>
      </c>
      <c r="N41" s="29" t="str">
        <f>IF(M41&gt;12,"High",IF(M41&lt;=5,"Low",IF(AND(M41&gt;=6,M41&lt;=12),"Medium")))</f>
        <v>Medium</v>
      </c>
      <c r="O41" s="31" t="s">
        <v>58</v>
      </c>
      <c r="P41" s="32" t="s">
        <v>309</v>
      </c>
      <c r="Q41" s="33" t="s">
        <v>310</v>
      </c>
      <c r="R41" s="37" t="s">
        <v>81</v>
      </c>
      <c r="S41" s="38">
        <f>VLOOKUP(R41,[1]Structure!$A$48:$B$52,2,FALSE)</f>
        <v>1</v>
      </c>
      <c r="T41" s="37" t="s">
        <v>29</v>
      </c>
      <c r="U41" s="37">
        <f>VLOOKUP(T41,[1]Structure!$D$48:$E$52,2,FALSE)</f>
        <v>3</v>
      </c>
      <c r="V41" s="38">
        <f>+S41*U41</f>
        <v>3</v>
      </c>
      <c r="W41" s="39" t="str">
        <f t="shared" si="3"/>
        <v>Low</v>
      </c>
      <c r="X41" s="43"/>
    </row>
    <row r="42" spans="1:24" ht="218.4" x14ac:dyDescent="0.3">
      <c r="A42" s="26" t="s">
        <v>311</v>
      </c>
      <c r="B42" s="27" t="s">
        <v>21</v>
      </c>
      <c r="C42" s="82" t="s">
        <v>312</v>
      </c>
      <c r="D42" s="82" t="s">
        <v>313</v>
      </c>
      <c r="E42" s="82" t="s">
        <v>314</v>
      </c>
      <c r="F42" s="82" t="s">
        <v>38</v>
      </c>
      <c r="G42" s="49" t="s">
        <v>307</v>
      </c>
      <c r="H42" s="82" t="s">
        <v>315</v>
      </c>
      <c r="I42" s="29" t="s">
        <v>28</v>
      </c>
      <c r="J42" s="29"/>
      <c r="K42" s="30" t="s">
        <v>29</v>
      </c>
      <c r="L42" s="30"/>
      <c r="M42" s="29"/>
      <c r="N42" s="29" t="s">
        <v>272</v>
      </c>
      <c r="O42" s="31"/>
      <c r="P42" s="32" t="s">
        <v>316</v>
      </c>
      <c r="Q42" s="86"/>
      <c r="R42" s="42" t="s">
        <v>33</v>
      </c>
      <c r="S42" s="35"/>
      <c r="T42" s="42" t="s">
        <v>29</v>
      </c>
      <c r="U42" s="84"/>
      <c r="V42" s="85"/>
      <c r="W42" s="39" t="str">
        <f t="shared" si="3"/>
        <v>Low</v>
      </c>
      <c r="X42" s="43"/>
    </row>
    <row r="43" spans="1:24" ht="280.35000000000002" customHeight="1" x14ac:dyDescent="0.3">
      <c r="A43" s="26" t="s">
        <v>317</v>
      </c>
      <c r="B43" s="27" t="s">
        <v>21</v>
      </c>
      <c r="C43" s="28" t="s">
        <v>318</v>
      </c>
      <c r="D43" s="28" t="s">
        <v>319</v>
      </c>
      <c r="E43" s="28" t="s">
        <v>320</v>
      </c>
      <c r="F43" s="28" t="s">
        <v>38</v>
      </c>
      <c r="G43" s="28" t="s">
        <v>307</v>
      </c>
      <c r="H43" s="28" t="s">
        <v>321</v>
      </c>
      <c r="I43" s="35" t="s">
        <v>28</v>
      </c>
      <c r="J43" s="35">
        <f>VLOOKUP(I43,[1]Structure!$A$48:$B$52,2,FALSE)</f>
        <v>3</v>
      </c>
      <c r="K43" s="42" t="s">
        <v>41</v>
      </c>
      <c r="L43" s="42">
        <f>VLOOKUP(K43,[1]Structure!$D$48:$E$52,2,FALSE)</f>
        <v>4</v>
      </c>
      <c r="M43" s="35">
        <f>+J43*L43</f>
        <v>12</v>
      </c>
      <c r="N43" s="29" t="str">
        <f>IF(M43&gt;12,"High",IF(M43&lt;=5,"Low",IF(AND(M43&gt;=6,M43&lt;=12),"Medium")))</f>
        <v>Medium</v>
      </c>
      <c r="O43" s="31" t="s">
        <v>58</v>
      </c>
      <c r="P43" s="32" t="s">
        <v>322</v>
      </c>
      <c r="Q43" s="33" t="s">
        <v>323</v>
      </c>
      <c r="R43" s="42" t="s">
        <v>28</v>
      </c>
      <c r="S43" s="35">
        <f>VLOOKUP(R43,[1]Structure!$A$48:$B$52,2,FALSE)</f>
        <v>3</v>
      </c>
      <c r="T43" s="42" t="s">
        <v>29</v>
      </c>
      <c r="U43" s="37">
        <f>VLOOKUP(T43,[1]Structure!$D$48:$E$52,2,FALSE)</f>
        <v>3</v>
      </c>
      <c r="V43" s="38">
        <f>+S43*U43</f>
        <v>9</v>
      </c>
      <c r="W43" s="39" t="str">
        <f t="shared" si="3"/>
        <v>Medium</v>
      </c>
      <c r="X43" s="40">
        <v>45839</v>
      </c>
    </row>
    <row r="44" spans="1:24" ht="265.2" x14ac:dyDescent="0.3">
      <c r="A44" s="26" t="s">
        <v>324</v>
      </c>
      <c r="B44" s="27" t="s">
        <v>21</v>
      </c>
      <c r="C44" s="28" t="s">
        <v>325</v>
      </c>
      <c r="D44" s="28" t="s">
        <v>326</v>
      </c>
      <c r="E44" s="28" t="s">
        <v>327</v>
      </c>
      <c r="F44" s="28" t="s">
        <v>38</v>
      </c>
      <c r="G44" s="28" t="s">
        <v>307</v>
      </c>
      <c r="H44" s="28" t="s">
        <v>328</v>
      </c>
      <c r="I44" s="29" t="s">
        <v>28</v>
      </c>
      <c r="J44" s="29">
        <f>VLOOKUP(I44,[1]Structure!$A$48:$B$52,2,FALSE)</f>
        <v>3</v>
      </c>
      <c r="K44" s="30" t="s">
        <v>41</v>
      </c>
      <c r="L44" s="30">
        <f>VLOOKUP(K44,[1]Structure!$D$48:$E$52,2,FALSE)</f>
        <v>4</v>
      </c>
      <c r="M44" s="29">
        <f>+J44*L44</f>
        <v>12</v>
      </c>
      <c r="N44" s="29" t="str">
        <f>IF(M44&gt;12,"High",IF(M44&lt;=5,"Low",IF(AND(M44&gt;=6,M44&lt;=12),"Medium")))</f>
        <v>Medium</v>
      </c>
      <c r="O44" s="31" t="s">
        <v>50</v>
      </c>
      <c r="P44" s="32" t="s">
        <v>329</v>
      </c>
      <c r="Q44" s="87" t="s">
        <v>330</v>
      </c>
      <c r="R44" s="42" t="s">
        <v>33</v>
      </c>
      <c r="S44" s="35">
        <f>VLOOKUP(R44,[1]Structure!$A$48:$B$52,2,FALSE)</f>
        <v>2</v>
      </c>
      <c r="T44" s="42" t="s">
        <v>41</v>
      </c>
      <c r="U44" s="37">
        <f>VLOOKUP(T44,[1]Structure!$D$48:$E$52,2,FALSE)</f>
        <v>4</v>
      </c>
      <c r="V44" s="38">
        <f>+S44*U44</f>
        <v>8</v>
      </c>
      <c r="W44" s="39" t="str">
        <f t="shared" si="3"/>
        <v>Medium</v>
      </c>
      <c r="X44" s="43"/>
    </row>
    <row r="45" spans="1:24" s="48" customFormat="1" ht="140.4" x14ac:dyDescent="0.3">
      <c r="A45" s="26" t="s">
        <v>331</v>
      </c>
      <c r="B45" s="27" t="s">
        <v>21</v>
      </c>
      <c r="C45" s="82" t="s">
        <v>332</v>
      </c>
      <c r="D45" s="28" t="s">
        <v>333</v>
      </c>
      <c r="E45" s="82" t="s">
        <v>334</v>
      </c>
      <c r="F45" s="82" t="s">
        <v>38</v>
      </c>
      <c r="G45" s="49" t="s">
        <v>307</v>
      </c>
      <c r="H45" s="82" t="s">
        <v>335</v>
      </c>
      <c r="I45" s="29" t="s">
        <v>28</v>
      </c>
      <c r="J45" s="29"/>
      <c r="K45" s="30" t="s">
        <v>41</v>
      </c>
      <c r="L45" s="30"/>
      <c r="M45" s="29"/>
      <c r="N45" s="29"/>
      <c r="O45" s="31"/>
      <c r="P45" s="73" t="s">
        <v>336</v>
      </c>
      <c r="Q45" s="86" t="s">
        <v>337</v>
      </c>
      <c r="R45" s="42" t="s">
        <v>33</v>
      </c>
      <c r="S45" s="35"/>
      <c r="T45" s="42" t="s">
        <v>29</v>
      </c>
      <c r="U45" s="84"/>
      <c r="V45" s="85"/>
      <c r="W45" s="39" t="str">
        <f t="shared" si="3"/>
        <v>Low</v>
      </c>
      <c r="X45" s="40">
        <v>45839</v>
      </c>
    </row>
    <row r="46" spans="1:24" ht="249.6" x14ac:dyDescent="0.3">
      <c r="A46" s="26" t="s">
        <v>338</v>
      </c>
      <c r="B46" s="27" t="s">
        <v>21</v>
      </c>
      <c r="C46" s="28" t="s">
        <v>339</v>
      </c>
      <c r="D46" s="28" t="s">
        <v>340</v>
      </c>
      <c r="E46" s="28" t="s">
        <v>341</v>
      </c>
      <c r="F46" s="28" t="s">
        <v>38</v>
      </c>
      <c r="G46" s="28" t="s">
        <v>307</v>
      </c>
      <c r="H46" s="28" t="s">
        <v>342</v>
      </c>
      <c r="I46" s="44" t="s">
        <v>33</v>
      </c>
      <c r="J46" s="44">
        <f>VLOOKUP(I46,[1]Structure!$A$48:$B$52,2,FALSE)</f>
        <v>2</v>
      </c>
      <c r="K46" s="45" t="s">
        <v>61</v>
      </c>
      <c r="L46" s="30">
        <f>VLOOKUP(K46,[1]Structure!$D$48:$E$52,2,FALSE)</f>
        <v>2</v>
      </c>
      <c r="M46" s="29">
        <f t="shared" ref="M46:M54" si="4">+J46*L46</f>
        <v>4</v>
      </c>
      <c r="N46" s="29" t="str">
        <f t="shared" ref="N46:N54" si="5">IF(M46&gt;12,"High",IF(M46&lt;=5,"Low",IF(AND(M46&gt;=6,M46&lt;=12),"Medium")))</f>
        <v>Low</v>
      </c>
      <c r="O46" s="31" t="s">
        <v>58</v>
      </c>
      <c r="P46" s="32" t="s">
        <v>343</v>
      </c>
      <c r="Q46" s="33" t="s">
        <v>344</v>
      </c>
      <c r="R46" s="37" t="s">
        <v>81</v>
      </c>
      <c r="S46" s="38">
        <f>VLOOKUP(R46,[1]Structure!$A$48:$B$52,2,FALSE)</f>
        <v>1</v>
      </c>
      <c r="T46" s="37" t="s">
        <v>61</v>
      </c>
      <c r="U46" s="37">
        <f>VLOOKUP(T46,[1]Structure!$D$48:$E$52,2,FALSE)</f>
        <v>2</v>
      </c>
      <c r="V46" s="38">
        <f t="shared" ref="V46:V54" si="6">+S46*U46</f>
        <v>2</v>
      </c>
      <c r="W46" s="39" t="str">
        <f t="shared" si="3"/>
        <v>Low</v>
      </c>
      <c r="X46" s="40">
        <v>45839</v>
      </c>
    </row>
    <row r="47" spans="1:24" ht="124.8" x14ac:dyDescent="0.3">
      <c r="A47" s="26" t="s">
        <v>345</v>
      </c>
      <c r="B47" s="27" t="s">
        <v>21</v>
      </c>
      <c r="C47" s="28" t="s">
        <v>346</v>
      </c>
      <c r="D47" s="28" t="s">
        <v>347</v>
      </c>
      <c r="E47" s="28" t="s">
        <v>348</v>
      </c>
      <c r="F47" s="28" t="s">
        <v>190</v>
      </c>
      <c r="G47" s="28" t="s">
        <v>307</v>
      </c>
      <c r="H47" s="28" t="s">
        <v>349</v>
      </c>
      <c r="I47" s="44" t="s">
        <v>28</v>
      </c>
      <c r="J47" s="44">
        <f>VLOOKUP(I47,[1]Structure!$A$48:$B$52,2,FALSE)</f>
        <v>3</v>
      </c>
      <c r="K47" s="45" t="s">
        <v>29</v>
      </c>
      <c r="L47" s="30">
        <f>VLOOKUP(K47,[1]Structure!$D$48:$E$52,2,FALSE)</f>
        <v>3</v>
      </c>
      <c r="M47" s="29">
        <f t="shared" si="4"/>
        <v>9</v>
      </c>
      <c r="N47" s="29" t="str">
        <f t="shared" si="5"/>
        <v>Medium</v>
      </c>
      <c r="O47" s="31" t="s">
        <v>58</v>
      </c>
      <c r="P47" s="32" t="s">
        <v>350</v>
      </c>
      <c r="Q47" s="33" t="s">
        <v>351</v>
      </c>
      <c r="R47" s="37" t="s">
        <v>33</v>
      </c>
      <c r="S47" s="38">
        <f>VLOOKUP(R47,[1]Structure!$A$48:$B$52,2,FALSE)</f>
        <v>2</v>
      </c>
      <c r="T47" s="37" t="s">
        <v>61</v>
      </c>
      <c r="U47" s="37">
        <f>VLOOKUP(T47,[1]Structure!$D$48:$E$52,2,FALSE)</f>
        <v>2</v>
      </c>
      <c r="V47" s="38">
        <f t="shared" si="6"/>
        <v>4</v>
      </c>
      <c r="W47" s="39" t="str">
        <f t="shared" si="3"/>
        <v>Low</v>
      </c>
      <c r="X47" s="40">
        <v>45839</v>
      </c>
    </row>
    <row r="48" spans="1:24" ht="156" x14ac:dyDescent="0.3">
      <c r="A48" s="26" t="s">
        <v>352</v>
      </c>
      <c r="B48" s="27" t="s">
        <v>21</v>
      </c>
      <c r="C48" s="28" t="s">
        <v>353</v>
      </c>
      <c r="D48" s="28" t="s">
        <v>354</v>
      </c>
      <c r="E48" s="28" t="s">
        <v>355</v>
      </c>
      <c r="F48" s="28" t="s">
        <v>38</v>
      </c>
      <c r="G48" s="49" t="s">
        <v>39</v>
      </c>
      <c r="H48" s="28" t="s">
        <v>356</v>
      </c>
      <c r="I48" s="29" t="s">
        <v>89</v>
      </c>
      <c r="J48" s="29">
        <f>VLOOKUP(I48,[1]Structure!$A$48:$B$52,2,FALSE)</f>
        <v>4</v>
      </c>
      <c r="K48" s="30" t="s">
        <v>41</v>
      </c>
      <c r="L48" s="30">
        <f>VLOOKUP(K48,[1]Structure!$D$48:$E$52,2,FALSE)</f>
        <v>4</v>
      </c>
      <c r="M48" s="29">
        <f t="shared" si="4"/>
        <v>16</v>
      </c>
      <c r="N48" s="29" t="str">
        <f t="shared" si="5"/>
        <v>High</v>
      </c>
      <c r="O48" s="31" t="s">
        <v>58</v>
      </c>
      <c r="P48" s="32" t="s">
        <v>357</v>
      </c>
      <c r="Q48" s="33" t="s">
        <v>358</v>
      </c>
      <c r="R48" s="42" t="s">
        <v>89</v>
      </c>
      <c r="S48" s="35">
        <f>VLOOKUP(R48,[1]Structure!$A$48:$B$52,2,FALSE)</f>
        <v>4</v>
      </c>
      <c r="T48" s="42" t="s">
        <v>29</v>
      </c>
      <c r="U48" s="37">
        <f>VLOOKUP(T48,[1]Structure!$D$48:$E$52,2,FALSE)</f>
        <v>3</v>
      </c>
      <c r="V48" s="38">
        <f t="shared" si="6"/>
        <v>12</v>
      </c>
      <c r="W48" s="39" t="str">
        <f t="shared" si="3"/>
        <v>Medium</v>
      </c>
      <c r="X48" s="43"/>
    </row>
    <row r="49" spans="1:24" s="72" customFormat="1" ht="93.6" x14ac:dyDescent="0.3">
      <c r="A49" s="26" t="s">
        <v>359</v>
      </c>
      <c r="B49" s="27" t="s">
        <v>21</v>
      </c>
      <c r="C49" s="28" t="s">
        <v>360</v>
      </c>
      <c r="D49" s="28" t="s">
        <v>361</v>
      </c>
      <c r="E49" s="28" t="s">
        <v>362</v>
      </c>
      <c r="F49" s="28" t="s">
        <v>190</v>
      </c>
      <c r="G49" s="46" t="s">
        <v>26</v>
      </c>
      <c r="H49" s="28" t="s">
        <v>363</v>
      </c>
      <c r="I49" s="29" t="s">
        <v>28</v>
      </c>
      <c r="J49" s="29">
        <f>VLOOKUP(I49,[1]Structure!$A$48:$B$52,2,FALSE)</f>
        <v>3</v>
      </c>
      <c r="K49" s="30" t="s">
        <v>41</v>
      </c>
      <c r="L49" s="30">
        <f>VLOOKUP(K49,[1]Structure!$D$48:$E$52,2,FALSE)</f>
        <v>4</v>
      </c>
      <c r="M49" s="29">
        <f t="shared" si="4"/>
        <v>12</v>
      </c>
      <c r="N49" s="29" t="str">
        <f>IF(M49&gt;12,"High",IF(M49&lt;=5,"Low",IF(AND(M49&gt;=6,M49&lt;=12),"Medium")))</f>
        <v>Medium</v>
      </c>
      <c r="O49" s="31" t="s">
        <v>364</v>
      </c>
      <c r="P49" s="33" t="s">
        <v>365</v>
      </c>
      <c r="Q49" s="33" t="s">
        <v>366</v>
      </c>
      <c r="R49" s="42" t="s">
        <v>28</v>
      </c>
      <c r="S49" s="35">
        <f>VLOOKUP(R49,[1]Structure!$A$48:$B$52,2,FALSE)</f>
        <v>3</v>
      </c>
      <c r="T49" s="42" t="s">
        <v>41</v>
      </c>
      <c r="U49" s="37">
        <f>VLOOKUP(T49,[1]Structure!$D$48:$E$52,2,FALSE)</f>
        <v>4</v>
      </c>
      <c r="V49" s="38">
        <f t="shared" si="6"/>
        <v>12</v>
      </c>
      <c r="W49" s="39" t="str">
        <f t="shared" si="3"/>
        <v>Medium</v>
      </c>
      <c r="X49" s="71"/>
    </row>
    <row r="50" spans="1:24" ht="308.39999999999998" customHeight="1" x14ac:dyDescent="0.3">
      <c r="A50" s="26" t="s">
        <v>367</v>
      </c>
      <c r="B50" s="27" t="s">
        <v>21</v>
      </c>
      <c r="C50" s="28" t="s">
        <v>368</v>
      </c>
      <c r="D50" s="28" t="s">
        <v>369</v>
      </c>
      <c r="E50" s="28" t="s">
        <v>370</v>
      </c>
      <c r="F50" s="28" t="s">
        <v>190</v>
      </c>
      <c r="G50" s="46" t="s">
        <v>371</v>
      </c>
      <c r="H50" s="28" t="s">
        <v>372</v>
      </c>
      <c r="I50" s="29" t="s">
        <v>89</v>
      </c>
      <c r="J50" s="29">
        <f>VLOOKUP(I50,[1]Structure!$A$48:$B$52,2,FALSE)</f>
        <v>4</v>
      </c>
      <c r="K50" s="30" t="s">
        <v>212</v>
      </c>
      <c r="L50" s="30">
        <f>VLOOKUP(K50,[1]Structure!$D$48:$E$52,2,FALSE)</f>
        <v>5</v>
      </c>
      <c r="M50" s="29">
        <f t="shared" si="4"/>
        <v>20</v>
      </c>
      <c r="N50" s="29" t="str">
        <f t="shared" si="5"/>
        <v>High</v>
      </c>
      <c r="O50" s="31" t="s">
        <v>58</v>
      </c>
      <c r="P50" s="33" t="s">
        <v>373</v>
      </c>
      <c r="Q50" s="33" t="s">
        <v>374</v>
      </c>
      <c r="R50" s="42" t="s">
        <v>28</v>
      </c>
      <c r="S50" s="35">
        <f>VLOOKUP(R50,[1]Structure!$A$48:$B$52,2,FALSE)</f>
        <v>3</v>
      </c>
      <c r="T50" s="42" t="s">
        <v>41</v>
      </c>
      <c r="U50" s="37">
        <f>VLOOKUP(T50,[1]Structure!$D$48:$E$52,2,FALSE)</f>
        <v>4</v>
      </c>
      <c r="V50" s="38">
        <f t="shared" si="6"/>
        <v>12</v>
      </c>
      <c r="W50" s="39" t="str">
        <f t="shared" si="3"/>
        <v>Medium</v>
      </c>
      <c r="X50" s="43"/>
    </row>
    <row r="51" spans="1:24" ht="140.4" x14ac:dyDescent="0.3">
      <c r="A51" s="26" t="s">
        <v>375</v>
      </c>
      <c r="B51" s="27" t="s">
        <v>282</v>
      </c>
      <c r="C51" s="28" t="s">
        <v>376</v>
      </c>
      <c r="D51" s="28" t="s">
        <v>377</v>
      </c>
      <c r="E51" s="28" t="s">
        <v>378</v>
      </c>
      <c r="F51" s="28" t="s">
        <v>190</v>
      </c>
      <c r="G51" s="28" t="s">
        <v>26</v>
      </c>
      <c r="H51" s="28" t="s">
        <v>379</v>
      </c>
      <c r="I51" s="44" t="s">
        <v>33</v>
      </c>
      <c r="J51" s="44">
        <f>VLOOKUP(I51,[1]Structure!$A$48:$B$52,2,FALSE)</f>
        <v>2</v>
      </c>
      <c r="K51" s="45" t="s">
        <v>41</v>
      </c>
      <c r="L51" s="30">
        <f>VLOOKUP(K51,[1]Structure!$D$48:$E$52,2,FALSE)</f>
        <v>4</v>
      </c>
      <c r="M51" s="29">
        <f t="shared" si="4"/>
        <v>8</v>
      </c>
      <c r="N51" s="29" t="str">
        <f t="shared" si="5"/>
        <v>Medium</v>
      </c>
      <c r="O51" s="31" t="s">
        <v>58</v>
      </c>
      <c r="P51" s="32" t="s">
        <v>380</v>
      </c>
      <c r="Q51" s="33" t="s">
        <v>381</v>
      </c>
      <c r="R51" s="37" t="s">
        <v>33</v>
      </c>
      <c r="S51" s="38">
        <f>VLOOKUP(R51,[1]Structure!$A$48:$B$52,2,FALSE)</f>
        <v>2</v>
      </c>
      <c r="T51" s="37" t="s">
        <v>29</v>
      </c>
      <c r="U51" s="37">
        <f>VLOOKUP(T51,[1]Structure!$D$48:$E$52,2,FALSE)</f>
        <v>3</v>
      </c>
      <c r="V51" s="38">
        <f t="shared" si="6"/>
        <v>6</v>
      </c>
      <c r="W51" s="39" t="str">
        <f t="shared" si="3"/>
        <v>Medium</v>
      </c>
      <c r="X51" s="43"/>
    </row>
    <row r="52" spans="1:24" s="48" customFormat="1" ht="279" customHeight="1" x14ac:dyDescent="0.3">
      <c r="A52" s="26" t="s">
        <v>382</v>
      </c>
      <c r="B52" s="27" t="s">
        <v>128</v>
      </c>
      <c r="C52" s="17" t="s">
        <v>383</v>
      </c>
      <c r="D52" s="28" t="s">
        <v>384</v>
      </c>
      <c r="E52" s="17" t="s">
        <v>385</v>
      </c>
      <c r="F52" s="17" t="s">
        <v>190</v>
      </c>
      <c r="G52" s="28" t="s">
        <v>26</v>
      </c>
      <c r="H52" s="17" t="s">
        <v>386</v>
      </c>
      <c r="I52" s="29" t="s">
        <v>28</v>
      </c>
      <c r="J52" s="29">
        <f>VLOOKUP(I52,[1]Structure!$A$48:$B$52,2,FALSE)</f>
        <v>3</v>
      </c>
      <c r="K52" s="30" t="s">
        <v>212</v>
      </c>
      <c r="L52" s="30">
        <f>VLOOKUP(K52,[1]Structure!$D$48:$E$52,2,FALSE)</f>
        <v>5</v>
      </c>
      <c r="M52" s="29">
        <f t="shared" si="4"/>
        <v>15</v>
      </c>
      <c r="N52" s="29" t="str">
        <f t="shared" si="5"/>
        <v>High</v>
      </c>
      <c r="O52" s="31" t="s">
        <v>50</v>
      </c>
      <c r="P52" s="32" t="s">
        <v>387</v>
      </c>
      <c r="Q52" s="22" t="s">
        <v>388</v>
      </c>
      <c r="R52" s="42" t="s">
        <v>33</v>
      </c>
      <c r="S52" s="35">
        <f>VLOOKUP(R52,[1]Structure!$A$48:$B$52,2,FALSE)</f>
        <v>2</v>
      </c>
      <c r="T52" s="42" t="s">
        <v>41</v>
      </c>
      <c r="U52" s="37">
        <f>VLOOKUP(T52,[1]Structure!$D$48:$E$52,2,FALSE)</f>
        <v>4</v>
      </c>
      <c r="V52" s="38">
        <f t="shared" si="6"/>
        <v>8</v>
      </c>
      <c r="W52" s="39" t="str">
        <f t="shared" si="3"/>
        <v>Medium</v>
      </c>
      <c r="X52" s="40">
        <v>45839</v>
      </c>
    </row>
    <row r="53" spans="1:24" s="48" customFormat="1" ht="233.1" customHeight="1" x14ac:dyDescent="0.3">
      <c r="A53" s="26" t="s">
        <v>389</v>
      </c>
      <c r="B53" s="27" t="s">
        <v>145</v>
      </c>
      <c r="C53" s="17" t="s">
        <v>390</v>
      </c>
      <c r="D53" s="17" t="s">
        <v>391</v>
      </c>
      <c r="E53" s="17" t="s">
        <v>392</v>
      </c>
      <c r="F53" s="17" t="s">
        <v>38</v>
      </c>
      <c r="G53" s="28" t="s">
        <v>39</v>
      </c>
      <c r="H53" s="17" t="s">
        <v>393</v>
      </c>
      <c r="I53" s="44" t="s">
        <v>81</v>
      </c>
      <c r="J53" s="44">
        <f>VLOOKUP(I53,[1]Structure!$A$48:$B$52,2,FALSE)</f>
        <v>1</v>
      </c>
      <c r="K53" s="45" t="s">
        <v>212</v>
      </c>
      <c r="L53" s="30">
        <f>VLOOKUP(K53,[1]Structure!$D$48:$E$52,2,FALSE)</f>
        <v>5</v>
      </c>
      <c r="M53" s="29">
        <f t="shared" si="4"/>
        <v>5</v>
      </c>
      <c r="N53" s="29" t="str">
        <f t="shared" si="5"/>
        <v>Low</v>
      </c>
      <c r="O53" s="31" t="s">
        <v>58</v>
      </c>
      <c r="P53" s="32" t="s">
        <v>394</v>
      </c>
      <c r="Q53" s="22" t="s">
        <v>395</v>
      </c>
      <c r="R53" s="37" t="s">
        <v>81</v>
      </c>
      <c r="S53" s="38">
        <f>VLOOKUP(R53,[1]Structure!$A$48:$B$52,2,FALSE)</f>
        <v>1</v>
      </c>
      <c r="T53" s="37" t="s">
        <v>41</v>
      </c>
      <c r="U53" s="37">
        <f>VLOOKUP(T53,[1]Structure!$D$48:$E$52,2,FALSE)</f>
        <v>4</v>
      </c>
      <c r="V53" s="38">
        <f t="shared" si="6"/>
        <v>4</v>
      </c>
      <c r="W53" s="39" t="str">
        <f t="shared" si="3"/>
        <v>Low</v>
      </c>
      <c r="X53" s="40">
        <v>45839</v>
      </c>
    </row>
    <row r="54" spans="1:24" ht="138.9" customHeight="1" x14ac:dyDescent="0.3">
      <c r="A54" s="26" t="s">
        <v>396</v>
      </c>
      <c r="B54" s="88" t="s">
        <v>145</v>
      </c>
      <c r="C54" s="89" t="s">
        <v>397</v>
      </c>
      <c r="D54" s="89" t="s">
        <v>398</v>
      </c>
      <c r="E54" s="89" t="s">
        <v>399</v>
      </c>
      <c r="F54" s="89" t="s">
        <v>190</v>
      </c>
      <c r="G54" s="90" t="s">
        <v>26</v>
      </c>
      <c r="H54" s="17" t="s">
        <v>400</v>
      </c>
      <c r="I54" s="29" t="s">
        <v>28</v>
      </c>
      <c r="J54" s="29">
        <f>VLOOKUP(I54,[1]Structure!$A$48:$B$52,2,FALSE)</f>
        <v>3</v>
      </c>
      <c r="K54" s="30" t="s">
        <v>41</v>
      </c>
      <c r="L54" s="30">
        <f>VLOOKUP(K54,[1]Structure!$D$48:$E$52,2,FALSE)</f>
        <v>4</v>
      </c>
      <c r="M54" s="29">
        <f t="shared" si="4"/>
        <v>12</v>
      </c>
      <c r="N54" s="29" t="str">
        <f t="shared" si="5"/>
        <v>Medium</v>
      </c>
      <c r="O54" s="31" t="s">
        <v>58</v>
      </c>
      <c r="P54" s="21" t="s">
        <v>401</v>
      </c>
      <c r="Q54" s="33" t="s">
        <v>402</v>
      </c>
      <c r="R54" s="42" t="s">
        <v>33</v>
      </c>
      <c r="S54" s="35">
        <f>VLOOKUP(R54,[1]Structure!$A$48:$B$52,2,FALSE)</f>
        <v>2</v>
      </c>
      <c r="T54" s="42" t="s">
        <v>29</v>
      </c>
      <c r="U54" s="37">
        <f>VLOOKUP(T54,[1]Structure!$D$48:$E$52,2,FALSE)</f>
        <v>3</v>
      </c>
      <c r="V54" s="38">
        <f t="shared" si="6"/>
        <v>6</v>
      </c>
      <c r="W54" s="39" t="str">
        <f t="shared" si="3"/>
        <v>Medium</v>
      </c>
      <c r="X54" s="43"/>
    </row>
    <row r="55" spans="1:24" x14ac:dyDescent="0.3">
      <c r="A55" s="91"/>
      <c r="B55" s="92"/>
      <c r="C55" s="91"/>
      <c r="D55" s="91"/>
      <c r="E55" s="91"/>
      <c r="F55" s="91"/>
      <c r="G55" s="91"/>
      <c r="H55" s="91"/>
      <c r="I55" s="93"/>
      <c r="J55" s="94"/>
      <c r="K55" s="93"/>
      <c r="L55" s="94"/>
      <c r="M55" s="94"/>
      <c r="N55" s="93"/>
      <c r="O55" s="95"/>
      <c r="P55" s="91"/>
      <c r="Q55" s="91"/>
      <c r="R55" s="91"/>
      <c r="S55" s="95"/>
      <c r="T55" s="91"/>
      <c r="U55" s="95"/>
      <c r="V55" s="95"/>
      <c r="W55" s="96"/>
      <c r="X55" s="97"/>
    </row>
  </sheetData>
  <autoFilter ref="A2:W55" xr:uid="{83C68188-CA64-46B0-99F3-B89E97576DC9}">
    <sortState xmlns:xlrd2="http://schemas.microsoft.com/office/spreadsheetml/2017/richdata2" ref="A3:W55">
      <sortCondition descending="1" ref="A2:A55"/>
    </sortState>
  </autoFilter>
  <mergeCells count="3">
    <mergeCell ref="I1:N1"/>
    <mergeCell ref="P1:Q1"/>
    <mergeCell ref="R1:W1"/>
  </mergeCells>
  <conditionalFormatting sqref="N4:N55 W4:W55">
    <cfRule type="cellIs" dxfId="2" priority="1" operator="equal">
      <formula>"Low"</formula>
    </cfRule>
    <cfRule type="cellIs" dxfId="1" priority="2" operator="equal">
      <formula>"Medium"</formula>
    </cfRule>
    <cfRule type="cellIs" dxfId="0" priority="3" operator="equal">
      <formula>"High"</formula>
    </cfRule>
  </conditionalFormatting>
  <dataValidations count="3">
    <dataValidation type="list" allowBlank="1" showInputMessage="1" showErrorMessage="1" sqref="R4:R55 I4:I55" xr:uid="{B53EA5A3-663D-4C06-BCAA-A4C41238097B}">
      <formula1>Likelihood</formula1>
    </dataValidation>
    <dataValidation type="list" allowBlank="1" showInputMessage="1" showErrorMessage="1" sqref="K4:K55 T4:T55" xr:uid="{9133767C-715B-4DE4-AD0F-B6ECCD394622}">
      <formula1>Severity</formula1>
    </dataValidation>
    <dataValidation type="list" allowBlank="1" showInputMessage="1" showErrorMessage="1" sqref="O47 O13:O41 O4:O10" xr:uid="{5A32AB03-397D-49EB-B26B-FD3D024DA10B}">
      <formula1>Treatment</formula1>
    </dataValidation>
  </dataValidations>
  <printOptions horizontalCentered="1"/>
  <pageMargins left="0.31496062992125984" right="0.31496062992125984" top="0.39370078740157483" bottom="0.19685039370078741" header="0.11811023622047245" footer="0.11811023622047245"/>
  <pageSetup paperSize="7" scale="33" fitToHeight="9" orientation="landscape" r:id="rId1"/>
  <headerFooter>
    <oddHeader>&amp;C&amp;"Arial,Bold"&amp;48&amp;A</oddHeader>
    <oddFooter>&amp;C&amp;"-,Bold"&amp;12Page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B6037721155D4BBD1E4135D02FF6F9" ma:contentTypeVersion="19" ma:contentTypeDescription="Create a new document." ma:contentTypeScope="" ma:versionID="b781570d89b84dbdd580dee3cf9a8cb9">
  <xsd:schema xmlns:xsd="http://www.w3.org/2001/XMLSchema" xmlns:xs="http://www.w3.org/2001/XMLSchema" xmlns:p="http://schemas.microsoft.com/office/2006/metadata/properties" xmlns:ns2="c8804c7c-3a20-43cc-bc32-f52bf6727fd4" xmlns:ns3="cf2f66a4-dd9a-4d4e-b4d3-4b8a7ed183b9" targetNamespace="http://schemas.microsoft.com/office/2006/metadata/properties" ma:root="true" ma:fieldsID="b48f3e39fe8b84b54bc109661f9bf4a7" ns2:_="" ns3:_="">
    <xsd:import namespace="c8804c7c-3a20-43cc-bc32-f52bf6727fd4"/>
    <xsd:import namespace="cf2f66a4-dd9a-4d4e-b4d3-4b8a7ed183b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804c7c-3a20-43cc-bc32-f52bf6727f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10a4dd-2fdb-481d-9549-a3fddd92d9d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2f66a4-dd9a-4d4e-b4d3-4b8a7ed183b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6d06fc-5d3e-4051-bc55-ac44340e79d2}" ma:internalName="TaxCatchAll" ma:showField="CatchAllData" ma:web="cf2f66a4-dd9a-4d4e-b4d3-4b8a7ed18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8804c7c-3a20-43cc-bc32-f52bf6727fd4">
      <Terms xmlns="http://schemas.microsoft.com/office/infopath/2007/PartnerControls"/>
    </lcf76f155ced4ddcb4097134ff3c332f>
    <TaxCatchAll xmlns="cf2f66a4-dd9a-4d4e-b4d3-4b8a7ed183b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DA64D8-49DE-4F37-8A88-F84F28E39F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804c7c-3a20-43cc-bc32-f52bf6727fd4"/>
    <ds:schemaRef ds:uri="cf2f66a4-dd9a-4d4e-b4d3-4b8a7ed183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9F26FB-9E4A-4EE3-A04D-7FC343469DB6}">
  <ds:schemaRefs>
    <ds:schemaRef ds:uri="http://schemas.microsoft.com/office/2006/metadata/properties"/>
    <ds:schemaRef ds:uri="http://schemas.microsoft.com/office/infopath/2007/PartnerControls"/>
    <ds:schemaRef ds:uri="c8804c7c-3a20-43cc-bc32-f52bf6727fd4"/>
    <ds:schemaRef ds:uri="cf2f66a4-dd9a-4d4e-b4d3-4b8a7ed183b9"/>
  </ds:schemaRefs>
</ds:datastoreItem>
</file>

<file path=customXml/itemProps3.xml><?xml version="1.0" encoding="utf-8"?>
<ds:datastoreItem xmlns:ds="http://schemas.openxmlformats.org/officeDocument/2006/customXml" ds:itemID="{DE0D56F1-DBEE-48B1-B94F-CBC4BB83EC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Register by Residual Risk</vt:lpstr>
      <vt:lpstr>'Register by Residual Risk'!Print_Area</vt:lpstr>
      <vt:lpstr>'Register by Residual Risk'!Print_Titles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Weston</dc:creator>
  <cp:lastModifiedBy>Jim Riddiford</cp:lastModifiedBy>
  <cp:lastPrinted>2026-05-22T08:53:28Z</cp:lastPrinted>
  <dcterms:created xsi:type="dcterms:W3CDTF">2026-01-29T08:52:30Z</dcterms:created>
  <dcterms:modified xsi:type="dcterms:W3CDTF">2026-06-11T07:47:32Z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0x01010082B6037721155D4BBD1E4135D02FF6F9</vt:lpwstr>
  </property>
  <property fmtid="{D5CDD505-2E9C-101B-9397-08002B2CF9AE}" pid="3" name="MediaServiceImageTags">
    <vt:lpwstr/>
  </property>
</Properties>
</file>